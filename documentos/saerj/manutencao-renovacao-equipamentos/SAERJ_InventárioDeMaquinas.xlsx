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erjsupermarket.sharepoint.com/sites/OKR/Shared Documents/Geral/0. SANDBOX/"/>
    </mc:Choice>
  </mc:AlternateContent>
  <xr:revisionPtr revIDLastSave="16" documentId="8_{1F81F6D9-3500-4748-A74D-58C1021E0646}" xr6:coauthVersionLast="47" xr6:coauthVersionMax="47" xr10:uidLastSave="{68A239CB-CE13-4C1D-84FB-2E8FFB187C7E}"/>
  <bookViews>
    <workbookView xWindow="-120" yWindow="-120" windowWidth="29040" windowHeight="15720" activeTab="2" xr2:uid="{00000000-000D-0000-FFFF-FFFF00000000}"/>
  </bookViews>
  <sheets>
    <sheet name="Planilha1" sheetId="1" r:id="rId1"/>
    <sheet name="Ref Processadores" sheetId="2" r:id="rId2"/>
    <sheet name="Plano de Modernização" sheetId="3" r:id="rId3"/>
    <sheet name="Reaproveitamento" sheetId="4" r:id="rId4"/>
    <sheet name="Depreciação Simplifica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6" l="1"/>
  <c r="H9" i="6"/>
  <c r="H8" i="6"/>
  <c r="H7" i="6"/>
  <c r="H6" i="6"/>
  <c r="H5" i="6"/>
  <c r="E35" i="6"/>
  <c r="G35" i="6"/>
  <c r="H35" i="6"/>
  <c r="J35" i="6"/>
  <c r="K35" i="6"/>
  <c r="O35" i="6"/>
  <c r="A14" i="6"/>
  <c r="D14" i="6" s="1"/>
  <c r="I14" i="6" s="1"/>
  <c r="B14" i="6"/>
  <c r="E14" i="6" s="1"/>
  <c r="G14" i="6" s="1"/>
  <c r="H14" i="6" s="1"/>
  <c r="C14" i="6"/>
  <c r="F14" i="6"/>
  <c r="A15" i="6"/>
  <c r="D15" i="6" s="1"/>
  <c r="I15" i="6" s="1"/>
  <c r="B15" i="6"/>
  <c r="C15" i="6"/>
  <c r="A16" i="6"/>
  <c r="D16" i="6" s="1"/>
  <c r="B16" i="6"/>
  <c r="C16" i="6"/>
  <c r="A17" i="6"/>
  <c r="D17" i="6" s="1"/>
  <c r="I17" i="6" s="1"/>
  <c r="B17" i="6"/>
  <c r="C17" i="6"/>
  <c r="A18" i="6"/>
  <c r="B18" i="6"/>
  <c r="F18" i="6" s="1"/>
  <c r="C18" i="6"/>
  <c r="D18" i="6"/>
  <c r="I18" i="6" s="1"/>
  <c r="N18" i="6" s="1"/>
  <c r="E18" i="6"/>
  <c r="A19" i="6"/>
  <c r="B19" i="6"/>
  <c r="C19" i="6"/>
  <c r="D19" i="6"/>
  <c r="F19" i="6"/>
  <c r="L19" i="6"/>
  <c r="A20" i="6"/>
  <c r="D20" i="6" s="1"/>
  <c r="B20" i="6"/>
  <c r="C20" i="6"/>
  <c r="F20" i="6"/>
  <c r="A21" i="6"/>
  <c r="D21" i="6" s="1"/>
  <c r="I21" i="6" s="1"/>
  <c r="B21" i="6"/>
  <c r="E21" i="6" s="1"/>
  <c r="C21" i="6"/>
  <c r="A22" i="6"/>
  <c r="D22" i="6" s="1"/>
  <c r="B22" i="6"/>
  <c r="F22" i="6" s="1"/>
  <c r="C22" i="6"/>
  <c r="E22" i="6"/>
  <c r="A23" i="6"/>
  <c r="D23" i="6" s="1"/>
  <c r="B23" i="6"/>
  <c r="C23" i="6"/>
  <c r="A24" i="6"/>
  <c r="D24" i="6" s="1"/>
  <c r="I24" i="6" s="1"/>
  <c r="B24" i="6"/>
  <c r="C24" i="6"/>
  <c r="A25" i="6"/>
  <c r="B25" i="6"/>
  <c r="C25" i="6"/>
  <c r="D25" i="6"/>
  <c r="I25" i="6" s="1"/>
  <c r="A26" i="6"/>
  <c r="D26" i="6" s="1"/>
  <c r="B26" i="6"/>
  <c r="F26" i="6" s="1"/>
  <c r="C26" i="6"/>
  <c r="A27" i="6"/>
  <c r="B27" i="6"/>
  <c r="E27" i="6" s="1"/>
  <c r="C27" i="6"/>
  <c r="D27" i="6"/>
  <c r="I27" i="6" s="1"/>
  <c r="A28" i="6"/>
  <c r="B28" i="6"/>
  <c r="F28" i="6" s="1"/>
  <c r="C28" i="6"/>
  <c r="D28" i="6"/>
  <c r="I28" i="6" s="1"/>
  <c r="A29" i="6"/>
  <c r="B29" i="6"/>
  <c r="C29" i="6"/>
  <c r="D29" i="6"/>
  <c r="F29" i="6"/>
  <c r="A30" i="6"/>
  <c r="D30" i="6" s="1"/>
  <c r="B30" i="6"/>
  <c r="E30" i="6" s="1"/>
  <c r="C30" i="6"/>
  <c r="A31" i="6"/>
  <c r="D31" i="6" s="1"/>
  <c r="B31" i="6"/>
  <c r="C31" i="6"/>
  <c r="A32" i="6"/>
  <c r="D32" i="6" s="1"/>
  <c r="B32" i="6"/>
  <c r="C32" i="6"/>
  <c r="A33" i="6"/>
  <c r="B33" i="6"/>
  <c r="C33" i="6"/>
  <c r="D33" i="6"/>
  <c r="I33" i="6" s="1"/>
  <c r="A34" i="6"/>
  <c r="D34" i="6" s="1"/>
  <c r="I34" i="6" s="1"/>
  <c r="N34" i="6" s="1"/>
  <c r="B34" i="6"/>
  <c r="F34" i="6" s="1"/>
  <c r="C34" i="6"/>
  <c r="B5" i="6"/>
  <c r="B8" i="6"/>
  <c r="E19" i="6" s="1"/>
  <c r="B9" i="6"/>
  <c r="E28" i="6" s="1"/>
  <c r="G28" i="6" s="1"/>
  <c r="E9" i="4"/>
  <c r="F9" i="4"/>
  <c r="E5" i="4"/>
  <c r="F5" i="4"/>
  <c r="E6" i="4"/>
  <c r="F6" i="4"/>
  <c r="E7" i="4"/>
  <c r="F7" i="4"/>
  <c r="E8" i="4"/>
  <c r="F8" i="4"/>
  <c r="B12" i="4"/>
  <c r="C12" i="4"/>
  <c r="D12" i="4"/>
  <c r="E12" i="4"/>
  <c r="F12" i="4"/>
  <c r="K12" i="4"/>
  <c r="B13" i="4"/>
  <c r="C13" i="4"/>
  <c r="D13" i="4"/>
  <c r="E13" i="4"/>
  <c r="F13" i="4"/>
  <c r="K13" i="4"/>
  <c r="B14" i="4"/>
  <c r="C14" i="4"/>
  <c r="D14" i="4"/>
  <c r="E14" i="4"/>
  <c r="F14" i="4"/>
  <c r="K14" i="4"/>
  <c r="B15" i="4"/>
  <c r="C15" i="4"/>
  <c r="D15" i="4"/>
  <c r="E15" i="4"/>
  <c r="F15" i="4"/>
  <c r="K15" i="4"/>
  <c r="B16" i="4"/>
  <c r="C16" i="4"/>
  <c r="D16" i="4"/>
  <c r="E16" i="4"/>
  <c r="F16" i="4"/>
  <c r="K16" i="4"/>
  <c r="B17" i="4"/>
  <c r="C17" i="4"/>
  <c r="D17" i="4"/>
  <c r="E17" i="4"/>
  <c r="F17" i="4"/>
  <c r="K17" i="4"/>
  <c r="B18" i="4"/>
  <c r="C18" i="4"/>
  <c r="D18" i="4"/>
  <c r="E18" i="4"/>
  <c r="F18" i="4"/>
  <c r="K18" i="4"/>
  <c r="B19" i="4"/>
  <c r="C19" i="4"/>
  <c r="D19" i="4"/>
  <c r="E19" i="4"/>
  <c r="F19" i="4"/>
  <c r="K19" i="4"/>
  <c r="A15" i="3"/>
  <c r="B15" i="3"/>
  <c r="C15" i="3"/>
  <c r="D15" i="3"/>
  <c r="E15" i="3"/>
  <c r="F15" i="3" s="1"/>
  <c r="K15" i="3" s="1"/>
  <c r="L15" i="3" s="1"/>
  <c r="I15" i="3"/>
  <c r="J15" i="3"/>
  <c r="A19" i="3"/>
  <c r="B19" i="3"/>
  <c r="C19" i="3"/>
  <c r="E19" i="3" s="1"/>
  <c r="D19" i="3"/>
  <c r="I19" i="3" s="1"/>
  <c r="A20" i="3"/>
  <c r="B20" i="3"/>
  <c r="C20" i="3"/>
  <c r="D20" i="3"/>
  <c r="E20" i="3"/>
  <c r="G20" i="3" s="1"/>
  <c r="H20" i="3" s="1"/>
  <c r="I20" i="3"/>
  <c r="J20" i="3"/>
  <c r="A27" i="3"/>
  <c r="B27" i="3"/>
  <c r="C27" i="3"/>
  <c r="E27" i="3" s="1"/>
  <c r="D27" i="3"/>
  <c r="I27" i="3" s="1"/>
  <c r="A25" i="3"/>
  <c r="B25" i="3"/>
  <c r="C25" i="3"/>
  <c r="E25" i="3" s="1"/>
  <c r="F25" i="3" s="1"/>
  <c r="K25" i="3" s="1"/>
  <c r="D25" i="3"/>
  <c r="J25" i="3" s="1"/>
  <c r="A16" i="3"/>
  <c r="B16" i="3"/>
  <c r="C16" i="3"/>
  <c r="E16" i="3" s="1"/>
  <c r="D16" i="3"/>
  <c r="I16" i="3" s="1"/>
  <c r="A21" i="3"/>
  <c r="B21" i="3"/>
  <c r="C21" i="3"/>
  <c r="D21" i="3"/>
  <c r="E21" i="3"/>
  <c r="G21" i="3" s="1"/>
  <c r="H21" i="3" s="1"/>
  <c r="F21" i="3"/>
  <c r="K21" i="3" s="1"/>
  <c r="L21" i="3" s="1"/>
  <c r="I21" i="3"/>
  <c r="J21" i="3"/>
  <c r="A23" i="3"/>
  <c r="B23" i="3"/>
  <c r="C23" i="3"/>
  <c r="E23" i="3" s="1"/>
  <c r="D23" i="3"/>
  <c r="I23" i="3" s="1"/>
  <c r="A22" i="3"/>
  <c r="B22" i="3"/>
  <c r="C22" i="3"/>
  <c r="D22" i="3"/>
  <c r="J22" i="3" s="1"/>
  <c r="E22" i="3"/>
  <c r="G22" i="3" s="1"/>
  <c r="H22" i="3" s="1"/>
  <c r="A28" i="3"/>
  <c r="B28" i="3"/>
  <c r="C28" i="3"/>
  <c r="E28" i="3" s="1"/>
  <c r="D28" i="3"/>
  <c r="I28" i="3" s="1"/>
  <c r="A24" i="3"/>
  <c r="B24" i="3"/>
  <c r="C24" i="3"/>
  <c r="D24" i="3"/>
  <c r="E24" i="3"/>
  <c r="G24" i="3" s="1"/>
  <c r="H24" i="3" s="1"/>
  <c r="F24" i="3"/>
  <c r="K24" i="3" s="1"/>
  <c r="L24" i="3" s="1"/>
  <c r="I24" i="3"/>
  <c r="J24" i="3"/>
  <c r="A18" i="3"/>
  <c r="B18" i="3"/>
  <c r="C18" i="3"/>
  <c r="E18" i="3" s="1"/>
  <c r="D18" i="3"/>
  <c r="I18" i="3" s="1"/>
  <c r="A17" i="3"/>
  <c r="B17" i="3"/>
  <c r="C17" i="3"/>
  <c r="D17" i="3"/>
  <c r="I17" i="3" s="1"/>
  <c r="E17" i="3"/>
  <c r="G17" i="3" s="1"/>
  <c r="H17" i="3" s="1"/>
  <c r="A26" i="3"/>
  <c r="B26" i="3"/>
  <c r="C26" i="3"/>
  <c r="E26" i="3" s="1"/>
  <c r="D26" i="3"/>
  <c r="I26" i="3" s="1"/>
  <c r="A29" i="3"/>
  <c r="B29" i="3"/>
  <c r="C29" i="3"/>
  <c r="D29" i="3"/>
  <c r="E29" i="3"/>
  <c r="G29" i="3" s="1"/>
  <c r="H29" i="3" s="1"/>
  <c r="F29" i="3"/>
  <c r="K29" i="3" s="1"/>
  <c r="L29" i="3" s="1"/>
  <c r="I29" i="3"/>
  <c r="J29" i="3"/>
  <c r="A30" i="3"/>
  <c r="B30" i="3"/>
  <c r="C30" i="3"/>
  <c r="E30" i="3" s="1"/>
  <c r="D30" i="3"/>
  <c r="I30" i="3" s="1"/>
  <c r="A31" i="3"/>
  <c r="B31" i="3"/>
  <c r="C31" i="3"/>
  <c r="D31" i="3"/>
  <c r="J31" i="3" s="1"/>
  <c r="E31" i="3"/>
  <c r="G31" i="3" s="1"/>
  <c r="H31" i="3" s="1"/>
  <c r="A32" i="3"/>
  <c r="B32" i="3"/>
  <c r="C32" i="3"/>
  <c r="E32" i="3" s="1"/>
  <c r="D32" i="3"/>
  <c r="I32" i="3" s="1"/>
  <c r="A33" i="3"/>
  <c r="B33" i="3"/>
  <c r="C33" i="3"/>
  <c r="D33" i="3"/>
  <c r="E33" i="3"/>
  <c r="G33" i="3" s="1"/>
  <c r="H33" i="3" s="1"/>
  <c r="F33" i="3"/>
  <c r="K33" i="3" s="1"/>
  <c r="L33" i="3" s="1"/>
  <c r="I33" i="3"/>
  <c r="J33" i="3"/>
  <c r="A34" i="3"/>
  <c r="B34" i="3"/>
  <c r="C34" i="3"/>
  <c r="E34" i="3" s="1"/>
  <c r="D34" i="3"/>
  <c r="I34" i="3" s="1"/>
  <c r="A35" i="3"/>
  <c r="B35" i="3"/>
  <c r="C35" i="3"/>
  <c r="D35" i="3"/>
  <c r="J35" i="3" s="1"/>
  <c r="E35" i="3"/>
  <c r="G35" i="3" s="1"/>
  <c r="H35" i="3" s="1"/>
  <c r="I26" i="6" l="1"/>
  <c r="N26" i="6" s="1"/>
  <c r="L26" i="6"/>
  <c r="G30" i="6"/>
  <c r="H30" i="6" s="1"/>
  <c r="G22" i="6"/>
  <c r="H22" i="6" s="1"/>
  <c r="L22" i="6"/>
  <c r="E20" i="6"/>
  <c r="G20" i="6" s="1"/>
  <c r="H20" i="6" s="1"/>
  <c r="I19" i="6"/>
  <c r="M19" i="6" s="1"/>
  <c r="E29" i="6"/>
  <c r="F30" i="6"/>
  <c r="F21" i="6"/>
  <c r="G21" i="6" s="1"/>
  <c r="H21" i="6" s="1"/>
  <c r="L30" i="6"/>
  <c r="E34" i="6"/>
  <c r="G34" i="6" s="1"/>
  <c r="O34" i="6" s="1"/>
  <c r="L27" i="6"/>
  <c r="E26" i="6"/>
  <c r="G26" i="6" s="1"/>
  <c r="O26" i="6" s="1"/>
  <c r="G29" i="6"/>
  <c r="J29" i="6" s="1"/>
  <c r="K29" i="6" s="1"/>
  <c r="I29" i="6"/>
  <c r="M29" i="6" s="1"/>
  <c r="I32" i="6"/>
  <c r="F27" i="6"/>
  <c r="E15" i="6"/>
  <c r="M27" i="6"/>
  <c r="N28" i="6"/>
  <c r="O28" i="6" s="1"/>
  <c r="L18" i="6"/>
  <c r="H28" i="6"/>
  <c r="J28" i="6"/>
  <c r="J21" i="6"/>
  <c r="E32" i="6"/>
  <c r="F32" i="6"/>
  <c r="M32" i="6" s="1"/>
  <c r="E33" i="6"/>
  <c r="F33" i="6"/>
  <c r="L33" i="6" s="1"/>
  <c r="N29" i="6"/>
  <c r="E25" i="6"/>
  <c r="F25" i="6"/>
  <c r="N21" i="6"/>
  <c r="O21" i="6" s="1"/>
  <c r="M34" i="6"/>
  <c r="M28" i="6"/>
  <c r="N27" i="6"/>
  <c r="M33" i="6"/>
  <c r="N33" i="6"/>
  <c r="L23" i="6"/>
  <c r="I31" i="6"/>
  <c r="L34" i="6"/>
  <c r="E31" i="6"/>
  <c r="F31" i="6"/>
  <c r="L31" i="6" s="1"/>
  <c r="M26" i="6"/>
  <c r="L25" i="6"/>
  <c r="J14" i="6"/>
  <c r="K14" i="6" s="1"/>
  <c r="E23" i="6"/>
  <c r="F23" i="6"/>
  <c r="K21" i="6"/>
  <c r="M18" i="6"/>
  <c r="F16" i="6"/>
  <c r="L16" i="6" s="1"/>
  <c r="E16" i="6"/>
  <c r="I16" i="6"/>
  <c r="M14" i="6"/>
  <c r="N14" i="6"/>
  <c r="O14" i="6" s="1"/>
  <c r="K28" i="6"/>
  <c r="I30" i="6"/>
  <c r="G27" i="6"/>
  <c r="H26" i="6"/>
  <c r="J26" i="6"/>
  <c r="K26" i="6" s="1"/>
  <c r="E24" i="6"/>
  <c r="F24" i="6"/>
  <c r="N24" i="6" s="1"/>
  <c r="L24" i="6"/>
  <c r="I22" i="6"/>
  <c r="J22" i="6" s="1"/>
  <c r="K22" i="6" s="1"/>
  <c r="L20" i="6"/>
  <c r="G19" i="6"/>
  <c r="G18" i="6"/>
  <c r="H34" i="6"/>
  <c r="J34" i="6"/>
  <c r="K34" i="6" s="1"/>
  <c r="E17" i="6"/>
  <c r="F17" i="6"/>
  <c r="L17" i="6" s="1"/>
  <c r="M25" i="6"/>
  <c r="N25" i="6"/>
  <c r="I23" i="6"/>
  <c r="L28" i="6"/>
  <c r="L21" i="6"/>
  <c r="I20" i="6"/>
  <c r="L29" i="6"/>
  <c r="F15" i="6"/>
  <c r="M15" i="6" s="1"/>
  <c r="L14" i="6"/>
  <c r="I35" i="3"/>
  <c r="I31" i="3"/>
  <c r="I22" i="3"/>
  <c r="I25" i="3"/>
  <c r="L25" i="3" s="1"/>
  <c r="J17" i="3"/>
  <c r="F35" i="3"/>
  <c r="K35" i="3" s="1"/>
  <c r="L35" i="3" s="1"/>
  <c r="M35" i="3" s="1"/>
  <c r="F31" i="3"/>
  <c r="K31" i="3" s="1"/>
  <c r="F17" i="3"/>
  <c r="K17" i="3" s="1"/>
  <c r="L17" i="3" s="1"/>
  <c r="F22" i="3"/>
  <c r="K22" i="3" s="1"/>
  <c r="L22" i="3" s="1"/>
  <c r="M22" i="3" s="1"/>
  <c r="N24" i="3"/>
  <c r="M24" i="3"/>
  <c r="N21" i="3"/>
  <c r="M21" i="3"/>
  <c r="M15" i="3"/>
  <c r="N15" i="3"/>
  <c r="F32" i="3"/>
  <c r="K32" i="3" s="1"/>
  <c r="G32" i="3"/>
  <c r="H32" i="3" s="1"/>
  <c r="F26" i="3"/>
  <c r="K26" i="3" s="1"/>
  <c r="L26" i="3" s="1"/>
  <c r="G26" i="3"/>
  <c r="H26" i="3" s="1"/>
  <c r="F16" i="3"/>
  <c r="K16" i="3" s="1"/>
  <c r="L16" i="3" s="1"/>
  <c r="G16" i="3"/>
  <c r="H16" i="3" s="1"/>
  <c r="N33" i="3"/>
  <c r="M33" i="3"/>
  <c r="N29" i="3"/>
  <c r="M29" i="3"/>
  <c r="F27" i="3"/>
  <c r="K27" i="3" s="1"/>
  <c r="G27" i="3"/>
  <c r="H27" i="3" s="1"/>
  <c r="F34" i="3"/>
  <c r="K34" i="3" s="1"/>
  <c r="G34" i="3"/>
  <c r="H34" i="3" s="1"/>
  <c r="F30" i="3"/>
  <c r="K30" i="3" s="1"/>
  <c r="L30" i="3" s="1"/>
  <c r="G30" i="3"/>
  <c r="H30" i="3" s="1"/>
  <c r="F18" i="3"/>
  <c r="K18" i="3" s="1"/>
  <c r="L18" i="3" s="1"/>
  <c r="G18" i="3"/>
  <c r="H18" i="3" s="1"/>
  <c r="F23" i="3"/>
  <c r="K23" i="3" s="1"/>
  <c r="G23" i="3"/>
  <c r="H23" i="3" s="1"/>
  <c r="F28" i="3"/>
  <c r="K28" i="3" s="1"/>
  <c r="G28" i="3"/>
  <c r="H28" i="3" s="1"/>
  <c r="N35" i="3"/>
  <c r="N17" i="3"/>
  <c r="M17" i="3"/>
  <c r="N22" i="3"/>
  <c r="F19" i="3"/>
  <c r="K19" i="3" s="1"/>
  <c r="L19" i="3" s="1"/>
  <c r="G19" i="3"/>
  <c r="H19" i="3" s="1"/>
  <c r="F20" i="3"/>
  <c r="K20" i="3" s="1"/>
  <c r="L20" i="3" s="1"/>
  <c r="J16" i="3"/>
  <c r="J32" i="3"/>
  <c r="J26" i="3"/>
  <c r="J28" i="3"/>
  <c r="J19" i="3"/>
  <c r="G25" i="3"/>
  <c r="H25" i="3" s="1"/>
  <c r="G15" i="3"/>
  <c r="H15" i="3" s="1"/>
  <c r="J34" i="3"/>
  <c r="J30" i="3"/>
  <c r="J18" i="3"/>
  <c r="J23" i="3"/>
  <c r="J27" i="3"/>
  <c r="N19" i="6" l="1"/>
  <c r="O19" i="6" s="1"/>
  <c r="H29" i="6"/>
  <c r="O29" i="6"/>
  <c r="M21" i="6"/>
  <c r="G15" i="6"/>
  <c r="L32" i="6"/>
  <c r="L15" i="6"/>
  <c r="N15" i="6"/>
  <c r="J19" i="6"/>
  <c r="K19" i="6" s="1"/>
  <c r="H19" i="6"/>
  <c r="M20" i="6"/>
  <c r="N20" i="6"/>
  <c r="O20" i="6" s="1"/>
  <c r="J15" i="6"/>
  <c r="K15" i="6" s="1"/>
  <c r="H15" i="6"/>
  <c r="H18" i="6"/>
  <c r="J18" i="6"/>
  <c r="K18" i="6" s="1"/>
  <c r="G24" i="6"/>
  <c r="G16" i="6"/>
  <c r="M31" i="6"/>
  <c r="N31" i="6"/>
  <c r="G17" i="6"/>
  <c r="M17" i="6"/>
  <c r="O33" i="6"/>
  <c r="O18" i="6"/>
  <c r="N22" i="6"/>
  <c r="O22" i="6" s="1"/>
  <c r="M22" i="6"/>
  <c r="H27" i="6"/>
  <c r="J27" i="6"/>
  <c r="K27" i="6" s="1"/>
  <c r="J20" i="6"/>
  <c r="K20" i="6" s="1"/>
  <c r="N17" i="6"/>
  <c r="O17" i="6" s="1"/>
  <c r="M23" i="6"/>
  <c r="N23" i="6"/>
  <c r="M30" i="6"/>
  <c r="N30" i="6"/>
  <c r="O30" i="6" s="1"/>
  <c r="G23" i="6"/>
  <c r="G25" i="6"/>
  <c r="G32" i="6"/>
  <c r="O25" i="6"/>
  <c r="N16" i="6"/>
  <c r="O16" i="6" s="1"/>
  <c r="M16" i="6"/>
  <c r="M24" i="6"/>
  <c r="O27" i="6"/>
  <c r="J30" i="6"/>
  <c r="K30" i="6" s="1"/>
  <c r="N32" i="6"/>
  <c r="G33" i="6"/>
  <c r="G31" i="6"/>
  <c r="M25" i="3"/>
  <c r="N25" i="3"/>
  <c r="L32" i="3"/>
  <c r="L31" i="3"/>
  <c r="E11" i="3"/>
  <c r="M18" i="3"/>
  <c r="N18" i="3"/>
  <c r="M19" i="3"/>
  <c r="N19" i="3"/>
  <c r="M32" i="3"/>
  <c r="N32" i="3"/>
  <c r="M30" i="3"/>
  <c r="N30" i="3"/>
  <c r="L28" i="3"/>
  <c r="L34" i="3"/>
  <c r="M16" i="3"/>
  <c r="N16" i="3"/>
  <c r="M20" i="3"/>
  <c r="N20" i="3"/>
  <c r="L23" i="3"/>
  <c r="L27" i="3"/>
  <c r="M26" i="3"/>
  <c r="N26" i="3"/>
  <c r="O31" i="6" l="1"/>
  <c r="O32" i="6"/>
  <c r="O23" i="6"/>
  <c r="O15" i="6"/>
  <c r="H23" i="6"/>
  <c r="J23" i="6"/>
  <c r="K23" i="6" s="1"/>
  <c r="H17" i="6"/>
  <c r="J17" i="6"/>
  <c r="K17" i="6" s="1"/>
  <c r="H31" i="6"/>
  <c r="J31" i="6"/>
  <c r="K31" i="6" s="1"/>
  <c r="H16" i="6"/>
  <c r="J16" i="6"/>
  <c r="K16" i="6" s="1"/>
  <c r="H33" i="6"/>
  <c r="J33" i="6"/>
  <c r="K33" i="6" s="1"/>
  <c r="H32" i="6"/>
  <c r="J32" i="6"/>
  <c r="K32" i="6" s="1"/>
  <c r="H24" i="6"/>
  <c r="J24" i="6"/>
  <c r="K24" i="6" s="1"/>
  <c r="H25" i="6"/>
  <c r="J25" i="6"/>
  <c r="K25" i="6" s="1"/>
  <c r="O24" i="6"/>
  <c r="M31" i="3"/>
  <c r="N31" i="3"/>
  <c r="E12" i="3"/>
  <c r="F12" i="3"/>
  <c r="M27" i="3"/>
  <c r="N27" i="3"/>
  <c r="M23" i="3"/>
  <c r="N23" i="3"/>
  <c r="M34" i="3"/>
  <c r="F8" i="3" s="1"/>
  <c r="N34" i="3"/>
  <c r="M28" i="3"/>
  <c r="F7" i="3" s="1"/>
  <c r="N28" i="3"/>
  <c r="E5" i="3" l="1"/>
  <c r="F6" i="3"/>
  <c r="E6" i="3"/>
  <c r="E7" i="3"/>
  <c r="E8" i="3"/>
  <c r="F5" i="3"/>
  <c r="F9" i="3" s="1"/>
  <c r="E9" i="3" l="1"/>
  <c r="F11" i="3" s="1"/>
</calcChain>
</file>

<file path=xl/sharedStrings.xml><?xml version="1.0" encoding="utf-8"?>
<sst xmlns="http://schemas.openxmlformats.org/spreadsheetml/2006/main" count="304" uniqueCount="195">
  <si>
    <t>SAERJ</t>
  </si>
  <si>
    <t>Usuário</t>
  </si>
  <si>
    <t>Processador</t>
  </si>
  <si>
    <t xml:space="preserve">Memória </t>
  </si>
  <si>
    <t>PRISCILA FERNANDES</t>
  </si>
  <si>
    <t>INTEL I5 650</t>
  </si>
  <si>
    <t>8 GB DDR3</t>
  </si>
  <si>
    <t>IVANILDE MONTENEGRO</t>
  </si>
  <si>
    <t>INTEL CORE I5 3470</t>
  </si>
  <si>
    <t>JAQUELINE LESSA</t>
  </si>
  <si>
    <t>THAMIRES OLIVEIRA</t>
  </si>
  <si>
    <t>INTEL CORE I5 1334U</t>
  </si>
  <si>
    <t>16 GB DDR4</t>
  </si>
  <si>
    <t>EVELIN CUNHA</t>
  </si>
  <si>
    <t>INTEL CORE I5 12400</t>
  </si>
  <si>
    <t>8 GB DDR4</t>
  </si>
  <si>
    <t>ISMAEL CAMPELO</t>
  </si>
  <si>
    <t>MARCELO GONÇALVES</t>
  </si>
  <si>
    <t>INTEL CORE I7 3770</t>
  </si>
  <si>
    <t>FABRICIO MEDEIROS</t>
  </si>
  <si>
    <t>INTEL CORE I7 1165G7</t>
  </si>
  <si>
    <t>16GB DDR4</t>
  </si>
  <si>
    <t>ANDRÉ MANHÃES</t>
  </si>
  <si>
    <t>INTEL CORE I5 7400</t>
  </si>
  <si>
    <t>FELIPE FACHETTI</t>
  </si>
  <si>
    <t>ALEXANDRO NASCIMENTO</t>
  </si>
  <si>
    <t>SAC</t>
  </si>
  <si>
    <t>INTEL CORE I3 2120</t>
  </si>
  <si>
    <t>4GB DDR3</t>
  </si>
  <si>
    <t>MARCOS CARVALHO</t>
  </si>
  <si>
    <t>INTEL CORE I5 650</t>
  </si>
  <si>
    <t>8GB DDR3</t>
  </si>
  <si>
    <t>LUCIA MEDEIROS</t>
  </si>
  <si>
    <t>INTEL CORE I5 12500</t>
  </si>
  <si>
    <t>8GB DDR4</t>
  </si>
  <si>
    <t xml:space="preserve">LUDMILLA OLIVEIRA </t>
  </si>
  <si>
    <t>INTEL CORE I7 1355U</t>
  </si>
  <si>
    <t>GLAUCIA LORIANO</t>
  </si>
  <si>
    <t>BENVIDA LUCIA</t>
  </si>
  <si>
    <t>INTEL CORE I5 13420H</t>
  </si>
  <si>
    <t>16GB DDR5</t>
  </si>
  <si>
    <t>LARISSA MURCIA</t>
  </si>
  <si>
    <t>ELIDIANE RODRIGUES</t>
  </si>
  <si>
    <t>DANIELLE MOITAS</t>
  </si>
  <si>
    <t xml:space="preserve">MARCELO REBELO </t>
  </si>
  <si>
    <t>X</t>
  </si>
  <si>
    <t>NB</t>
  </si>
  <si>
    <t>DT</t>
  </si>
  <si>
    <t>Coluna1</t>
  </si>
  <si>
    <t>Coluna2</t>
  </si>
  <si>
    <t>Tabela de referência – processadores (especificações públicas Intel)</t>
  </si>
  <si>
    <t>Modelo</t>
  </si>
  <si>
    <t>Geração Intel</t>
  </si>
  <si>
    <t>Arquitetura</t>
  </si>
  <si>
    <t>Ano de lançamento</t>
  </si>
  <si>
    <t>Segmento</t>
  </si>
  <si>
    <t>I5 650</t>
  </si>
  <si>
    <t>Clarkdale</t>
  </si>
  <si>
    <t>Desktop</t>
  </si>
  <si>
    <t>I3 2120</t>
  </si>
  <si>
    <t>Sandy Bridge</t>
  </si>
  <si>
    <t>I5 3470</t>
  </si>
  <si>
    <t>Ivy Bridge</t>
  </si>
  <si>
    <t>I7 3770</t>
  </si>
  <si>
    <t>I5 7400</t>
  </si>
  <si>
    <t>Kaby Lake</t>
  </si>
  <si>
    <t>I7 1165G7</t>
  </si>
  <si>
    <t>Tiger Lake</t>
  </si>
  <si>
    <t>Notebook</t>
  </si>
  <si>
    <t>I5 12400</t>
  </si>
  <si>
    <t>Alder Lake</t>
  </si>
  <si>
    <t>I5 12500</t>
  </si>
  <si>
    <t>I5 1334U</t>
  </si>
  <si>
    <t>Raptor Lake</t>
  </si>
  <si>
    <t>I7 1355U</t>
  </si>
  <si>
    <t>I5 13420H</t>
  </si>
  <si>
    <t>SAERJ – Diagnóstico e Plano de Modernização do Parque de Computadores</t>
  </si>
  <si>
    <t>Critérios: compatibilidade com Windows 11 (Intel 8ª geração ou superior), memória mínima e idade do processador. Custos são estimativas – validar com cotação.</t>
  </si>
  <si>
    <t>PREMISSAS</t>
  </si>
  <si>
    <t>Valor</t>
  </si>
  <si>
    <t>Ano de referência</t>
  </si>
  <si>
    <t>Geração Intel mínima p/ Windows 11</t>
  </si>
  <si>
    <t>RAM mínima recomendada (GB)</t>
  </si>
  <si>
    <t>Custo desktop novo (R$)</t>
  </si>
  <si>
    <t>Custo notebook novo (R$)</t>
  </si>
  <si>
    <t>Custo upgrade +8 GB RAM (R$)</t>
  </si>
  <si>
    <t>Idade máx. sem monitoramento (anos)</t>
  </si>
  <si>
    <t>Tipo</t>
  </si>
  <si>
    <t>Memória</t>
  </si>
  <si>
    <t>Geração</t>
  </si>
  <si>
    <t>Ano lanç.</t>
  </si>
  <si>
    <t>Idade (anos)</t>
  </si>
  <si>
    <t>RAM (GB)</t>
  </si>
  <si>
    <t>Tipo RAM</t>
  </si>
  <si>
    <t>Compatível Win11</t>
  </si>
  <si>
    <t>Ação recomendada</t>
  </si>
  <si>
    <t>Fase</t>
  </si>
  <si>
    <t>Custo estimado (R$)</t>
  </si>
  <si>
    <t>RESUMO POR FASE</t>
  </si>
  <si>
    <t>Máquinas</t>
  </si>
  <si>
    <t>Prazo sugerido</t>
  </si>
  <si>
    <t>Escopo</t>
  </si>
  <si>
    <t>Fase 1 – Imediata</t>
  </si>
  <si>
    <t>Fase 2 – Curto prazo</t>
  </si>
  <si>
    <t>Fase 3 – Upgrade</t>
  </si>
  <si>
    <t>Manter</t>
  </si>
  <si>
    <t>Até dez/2026</t>
  </si>
  <si>
    <t>Substituir máquinas de 1ª/2ª geração (2010-2011) e/ou com menos de 8 GB – sem suporte Windows 11 e risco de falha</t>
  </si>
  <si>
    <t>1º trimestre 2027</t>
  </si>
  <si>
    <t>Substituir máquinas de 3ª a 7ª geração – incompatíveis com Windows 11</t>
  </si>
  <si>
    <t>Ampliar RAM para 16 GB (DDR4) em máquinas de 12ª geração – baixo custo, alto ganho</t>
  </si>
  <si>
    <t>Revisão anual</t>
  </si>
  <si>
    <t>Máquinas atuais; as de 11ª geração (2020) entram no planejamento de 2027/28</t>
  </si>
  <si>
    <t>Total</t>
  </si>
  <si>
    <t>Máquinas compatíveis c/ Windows 11</t>
  </si>
  <si>
    <t>Desktops / Notebooks a substituir</t>
  </si>
  <si>
    <t>RECOMENDAÇÕES DO PLANO</t>
  </si>
  <si>
    <t>1. Padrão de aquisição – Desktop</t>
  </si>
  <si>
    <t>Intel Core i5 14ª ger. ou Core Ultra 5, 16 GB DDR5, SSD NVMe 512 GB, Windows 11 Pro, garantia on-site de 3 anos</t>
  </si>
  <si>
    <t>2. Padrão de aquisição – Notebook</t>
  </si>
  <si>
    <t>Intel Core Ultra 5 / i5 13ª ger. ou superior, 16 GB, SSD NVMe 512 GB, Windows 11 Pro, garantia de 3 anos</t>
  </si>
  <si>
    <t>3. Sistema operacional</t>
  </si>
  <si>
    <t>O suporte do Windows 10 terminou em out/2025: migrar todas as máquinas compatíveis para Windows 11 e priorizar a troca das incompatíveis</t>
  </si>
  <si>
    <t>4. Armazenamento</t>
  </si>
  <si>
    <t>Verificar se as máquinas mantidas usam SSD; trocar HDs por SSD (baixo custo, grande ganho de desempenho)</t>
  </si>
  <si>
    <t>5. Aproveitamento</t>
  </si>
  <si>
    <t>Máquinas substituídas não devem voltar à rede; fazer backup, apagar os discos com segurança e dar destino ambientalmente correto (e-lixo)</t>
  </si>
  <si>
    <t>6. Ciclo de renovação</t>
  </si>
  <si>
    <t>Adotar ciclo de 5 anos: revisar anualmente esta planilha (ano de referência em B5) e orçar a renovação das máquinas de 11ª geração para 2027/28</t>
  </si>
  <si>
    <t>SAERJ – Reaproveitamento das Máquinas Substituídas</t>
  </si>
  <si>
    <t>Máquinas incompatíveis com Windows 11 (Fases 1 e 2 do plano). Reaproveitar somente com SO suportado e SSD. Custos são estimativas – validar com cotação.</t>
  </si>
  <si>
    <t>Custo SSD 480/512 GB + instalação (R$)</t>
  </si>
  <si>
    <t>Usuário atual</t>
  </si>
  <si>
    <t>Recomendação</t>
  </si>
  <si>
    <t>Possível uso</t>
  </si>
  <si>
    <t>Sistema operacional sugerido</t>
  </si>
  <si>
    <t>Justificativa</t>
  </si>
  <si>
    <t>Custo preparação (R$)</t>
  </si>
  <si>
    <t>Reaproveitar</t>
  </si>
  <si>
    <t>Máquina reserva, sala de treinamento, estação de digitalização/impressão ou terminal de consulta</t>
  </si>
  <si>
    <t>ChromeOS Flex / Linux (ou Windows 10 com ESU até out/2028)</t>
  </si>
  <si>
    <t>Melhor candidata: 16 GB DDR4 e processador de 7ª geração ainda com bom desempenho</t>
  </si>
  <si>
    <t>Reaproveitar (condicional)</t>
  </si>
  <si>
    <t>Painel informativo em TV, totem de senhas/consulta, navegação simples</t>
  </si>
  <si>
    <t>ChromeOS Flex / Linux</t>
  </si>
  <si>
    <t>i7 3770 é o melhor processador entre os antigos; reaproveitar só se houver função definida</t>
  </si>
  <si>
    <t>Mesmos usos de baixa exigência (painel, totem, consulta)</t>
  </si>
  <si>
    <t>Aproveitar no máximo uma das duas máquinas i5 3470</t>
  </si>
  <si>
    <t>Reposição de peças</t>
  </si>
  <si>
    <t>Fonte, memória DDR3 e periféricos como reserva para as máquinas reaproveitadas</t>
  </si>
  <si>
    <t>—</t>
  </si>
  <si>
    <t>Segunda i5 3470: mais útil como fonte de peças</t>
  </si>
  <si>
    <t>Descartar</t>
  </si>
  <si>
    <t>i5 650 (2010): alto consumo de energia, hardware com 16 anos e risco de falha</t>
  </si>
  <si>
    <t>i3 2120 com apenas 4 GB DDR3: desempenho insuficiente mesmo para uso leve</t>
  </si>
  <si>
    <t>RESUMO</t>
  </si>
  <si>
    <t>PRÉ-REQUISITOS E CUIDADOS</t>
  </si>
  <si>
    <t>1. Sistema operacional</t>
  </si>
  <si>
    <t>Nenhuma destas máquinas suporta Windows 11. Usar ChromeOS Flex/Linux (gratuitos) ou Windows 10 com ESU pago (até out/2028). Nunca manter Windows 10 sem suporte na rede.</t>
  </si>
  <si>
    <t>2. Armazenamento</t>
  </si>
  <si>
    <t>Trocar HD por SSD em toda máquina reaproveitada (custo em B5).</t>
  </si>
  <si>
    <t>3. Dados pessoais (LGPD)</t>
  </si>
  <si>
    <t>Não usar máquinas reaproveitadas em funções com dados de associados ou financeiros.</t>
  </si>
  <si>
    <t>4. Custo x benefício</t>
  </si>
  <si>
    <t>Reaproveitar não reduz o custo do plano: os usuários atuais recebem máquinas novas. O ganho é cobrir funções extras sem comprar equipamento.</t>
  </si>
  <si>
    <t>5. Descarte</t>
  </si>
  <si>
    <t>Apagar os discos com segurança antes do descarte/doação e destinar a empresa certificada de lixo eletrônico.</t>
  </si>
  <si>
    <t>Situação</t>
  </si>
  <si>
    <t>SAERJ – Depreciação Simplificada por Máquina (visão Diretoria)</t>
  </si>
  <si>
    <t>Cada máquina é depreciada em linha reta até R$ 0. O valor mensal é o que deve ser guardado para repor a máquina. Após zerar, cada mês de uso é “lucro” (a máquina trabalha sem custo).</t>
  </si>
  <si>
    <t>Data de referência</t>
  </si>
  <si>
    <t>Prazo de depreciação – Desktop (meses)</t>
  </si>
  <si>
    <t>Prazo de depreciação – Notebook (meses)</t>
  </si>
  <si>
    <t>Valor de uma máquina nova – Desktop (R$)</t>
  </si>
  <si>
    <t>Valor de uma máquina nova – Notebook (R$)</t>
  </si>
  <si>
    <t>Anos entre lançamento do processador e compra</t>
  </si>
  <si>
    <t>Ano de aquisição (est.)</t>
  </si>
  <si>
    <t>Valor da máquina (R$)</t>
  </si>
  <si>
    <t>Prazo (meses)</t>
  </si>
  <si>
    <t>Guardar por mês (R$)</t>
  </si>
  <si>
    <t>Guardar por ano (R$)</t>
  </si>
  <si>
    <t>Meses de uso</t>
  </si>
  <si>
    <t>Valor já depreciado (R$)</t>
  </si>
  <si>
    <t>Saldo a depreciar (R$)</t>
  </si>
  <si>
    <t>Zera em</t>
  </si>
  <si>
    <t>Meses após zerar</t>
  </si>
  <si>
    <t>“Lucro” após zerar (R$)</t>
  </si>
  <si>
    <t>RESUMO PARA A DIRETORIA</t>
  </si>
  <si>
    <t>Valor a guardar por mês (todas as máquinas)</t>
  </si>
  <si>
    <t>Valor a guardar por ano (todas as máquinas)</t>
  </si>
  <si>
    <t>Máquinas já zeradas (depreciação concluída)</t>
  </si>
  <si>
    <t>Máquinas ainda em depreciação</t>
  </si>
  <si>
    <t>Saldo ainda a depreciar</t>
  </si>
  <si>
    <t>“Lucro” acumulado das máquinas zeradas</t>
  </si>
  <si>
    <t>Obs.: ano de aquisição estimado pelo processador – substitua pelo ano real da nota fiscal quando disponível (coluna 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</si>
</sst>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R$&quot;\ #,##0;\(&quot;R$&quot;\ #,##0\);\-"/>
    <numFmt numFmtId="166" formatCode="mm/yyyy"/>
  </numFmts>
  <fonts count="12" x14ac:knownFonts="1">
    <font>
      <sz val="11"/>
      <color theme="1"/>
      <name val="Aptos Narrow"/>
      <scheme val="minor"/>
    </font>
    <font>
      <b/>
      <sz val="18"/>
      <color rgb="FFFFFFFF"/>
      <name val="Aptos"/>
    </font>
    <font>
      <sz val="11"/>
      <color rgb="FF262626"/>
      <name val="Aptos"/>
    </font>
    <font>
      <b/>
      <sz val="11"/>
      <color rgb="FF001F43"/>
      <name val="Aptos"/>
    </font>
    <font>
      <b/>
      <sz val="11"/>
      <color theme="1"/>
      <name val="Aptos Narrow"/>
      <scheme val="minor"/>
    </font>
    <font>
      <b/>
      <sz val="13"/>
      <color theme="1"/>
      <name val="Aptos Narrow"/>
      <scheme val="minor"/>
    </font>
    <font>
      <sz val="11"/>
      <color rgb="FF0000FF"/>
      <name val="Aptos Narrow"/>
      <scheme val="minor"/>
    </font>
    <font>
      <b/>
      <sz val="14"/>
      <color theme="1"/>
      <name val="Aptos Narrow"/>
      <scheme val="minor"/>
    </font>
    <font>
      <i/>
      <sz val="11"/>
      <color rgb="FF595959"/>
      <name val="Aptos Narrow"/>
      <scheme val="minor"/>
    </font>
    <font>
      <sz val="11"/>
      <color rgb="FF008000"/>
      <name val="Aptos Narrow"/>
      <scheme val="minor"/>
    </font>
    <font>
      <b/>
      <sz val="11"/>
      <color rgb="FFFFFFFF"/>
      <name val="Aptos Narrow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medium">
        <color rgb="FF001F43"/>
      </bottom>
      <diagonal/>
    </border>
    <border>
      <left/>
      <right style="thin">
        <color rgb="FFD9D9D9"/>
      </right>
      <top style="thin">
        <color rgb="FFD9D9D9"/>
      </top>
      <bottom style="medium">
        <color rgb="FF001F43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" fontId="6" fillId="0" borderId="0" xfId="0" applyNumberFormat="1" applyFont="1"/>
    <xf numFmtId="0" fontId="7" fillId="0" borderId="0" xfId="0" applyFont="1"/>
    <xf numFmtId="0" fontId="8" fillId="0" borderId="0" xfId="0" applyFont="1"/>
    <xf numFmtId="1" fontId="0" fillId="0" borderId="0" xfId="0" applyNumberFormat="1"/>
    <xf numFmtId="0" fontId="9" fillId="0" borderId="0" xfId="0" applyFont="1"/>
    <xf numFmtId="164" fontId="0" fillId="0" borderId="0" xfId="0" applyNumberFormat="1"/>
    <xf numFmtId="0" fontId="10" fillId="7" borderId="0" xfId="0" applyFont="1" applyFill="1"/>
    <xf numFmtId="0" fontId="11" fillId="0" borderId="0" xfId="0" applyFont="1"/>
    <xf numFmtId="0" fontId="4" fillId="0" borderId="6" xfId="0" applyFont="1" applyBorder="1"/>
    <xf numFmtId="0" fontId="4" fillId="0" borderId="7" xfId="0" applyFont="1" applyBorder="1"/>
    <xf numFmtId="0" fontId="0" fillId="0" borderId="7" xfId="0" applyBorder="1"/>
    <xf numFmtId="0" fontId="0" fillId="0" borderId="0" xfId="0" applyAlignment="1">
      <alignment wrapText="1"/>
    </xf>
    <xf numFmtId="165" fontId="6" fillId="6" borderId="0" xfId="0" applyNumberFormat="1" applyFont="1" applyFill="1"/>
    <xf numFmtId="165" fontId="0" fillId="0" borderId="0" xfId="0" applyNumberFormat="1"/>
    <xf numFmtId="165" fontId="4" fillId="0" borderId="7" xfId="0" applyNumberFormat="1" applyFont="1" applyBorder="1"/>
    <xf numFmtId="165" fontId="4" fillId="0" borderId="0" xfId="0" applyNumberFormat="1" applyFont="1"/>
    <xf numFmtId="165" fontId="4" fillId="0" borderId="6" xfId="0" applyNumberFormat="1" applyFont="1" applyBorder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5" fontId="9" fillId="0" borderId="0" xfId="0" applyNumberFormat="1" applyFont="1"/>
    <xf numFmtId="165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4" fontId="6" fillId="0" borderId="0" xfId="0" applyNumberFormat="1" applyFont="1"/>
    <xf numFmtId="166" fontId="0" fillId="0" borderId="0" xfId="0" applyNumberFormat="1"/>
    <xf numFmtId="0" fontId="0" fillId="0" borderId="0" xfId="0"/>
    <xf numFmtId="0" fontId="10" fillId="7" borderId="0" xfId="0" applyFont="1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61">
    <dxf>
      <fill>
        <patternFill patternType="solid">
          <fgColor indexed="64"/>
          <bgColor rgb="FFFFE699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699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FFE699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FFE699"/>
        </patternFill>
      </fill>
    </dxf>
    <dxf>
      <fill>
        <patternFill patternType="solid">
          <fgColor indexed="64"/>
          <bgColor rgb="FFF8CBAD"/>
        </patternFill>
      </fill>
    </dxf>
    <dxf>
      <numFmt numFmtId="165" formatCode="&quot;R$&quot;\ #,##0;\(&quot;R$&quot;\ #,##0\);\-"/>
      <alignment vertical="center"/>
    </dxf>
    <dxf>
      <alignment vertical="center" wrapText="1"/>
    </dxf>
    <dxf>
      <alignment vertical="center" wrapText="1"/>
    </dxf>
    <dxf>
      <alignment vertical="center" wrapText="1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  <alignment vertical="center"/>
    </dxf>
    <dxf>
      <alignment vertical="center"/>
    </dxf>
    <dxf>
      <alignment vertical="center"/>
    </dxf>
    <dxf>
      <alignment wrapText="1"/>
    </dxf>
    <dxf>
      <numFmt numFmtId="165" formatCode="&quot;R$&quot;\ #,##0;\(&quot;R$&quot;\ #,##0\);\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</dxf>
    <dxf>
      <alignment wrapText="1"/>
    </dxf>
    <dxf>
      <font>
        <color rgb="FF0000FF"/>
      </font>
      <numFmt numFmtId="1" formatCode="0"/>
    </dxf>
    <dxf>
      <font>
        <color rgb="FF0000FF"/>
      </font>
    </dxf>
    <dxf>
      <font>
        <color rgb="FF0000FF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D9D9D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left style="thin">
          <color rgb="FFD9D9D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1F43"/>
        <name val="Aptos"/>
        <scheme val="none"/>
      </font>
      <fill>
        <patternFill patternType="solid">
          <fgColor indexed="64"/>
          <bgColor rgb="FFB9D5F3"/>
        </patternFill>
      </fill>
      <alignment horizontal="center" vertical="center" textRotation="0" wrapText="0" indent="0" justifyLastLine="0" shrinkToFit="0" readingOrder="0"/>
    </dxf>
    <dxf>
      <numFmt numFmtId="165" formatCode="&quot;R$&quot;\ #,##0;\(&quot;R$&quot;\ #,##0\);\-"/>
    </dxf>
    <dxf>
      <numFmt numFmtId="1" formatCode="0"/>
    </dxf>
    <dxf>
      <numFmt numFmtId="166" formatCode="mm/yyyy"/>
    </dxf>
    <dxf>
      <numFmt numFmtId="165" formatCode="&quot;R$&quot;\ #,##0;\(&quot;R$&quot;\ #,##0\);\-"/>
    </dxf>
    <dxf>
      <numFmt numFmtId="165" formatCode="&quot;R$&quot;\ #,##0;\(&quot;R$&quot;\ #,##0\);\-"/>
    </dxf>
    <dxf>
      <numFmt numFmtId="1" formatCode="0"/>
    </dxf>
    <dxf>
      <font>
        <b/>
      </font>
      <numFmt numFmtId="165" formatCode="&quot;R$&quot;\ #,##0;\(&quot;R$&quot;\ #,##0\);\-"/>
    </dxf>
    <dxf>
      <font>
        <b/>
      </font>
      <numFmt numFmtId="165" formatCode="&quot;R$&quot;\ #,##0;\(&quot;R$&quot;\ #,##0\);\-"/>
    </dxf>
    <dxf>
      <numFmt numFmtId="1" formatCode="0"/>
    </dxf>
    <dxf>
      <numFmt numFmtId="165" formatCode="&quot;R$&quot;\ #,##0;\(&quot;R$&quot;\ #,##0\);\-"/>
    </dxf>
    <dxf>
      <numFmt numFmtId="1" formatCode="0"/>
    </dxf>
    <dxf>
      <font>
        <color rgb="FF008000"/>
      </font>
    </dxf>
    <dxf>
      <font>
        <color rgb="FF008000"/>
      </font>
    </dxf>
    <dxf>
      <font>
        <color rgb="FF008000"/>
      </font>
    </dxf>
    <dxf>
      <alignment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BC549-31AC-40F1-8C4A-DA2EC2714822}" name="Tabela1" displayName="Tabela1" ref="A3:E24" totalsRowShown="0" headerRowDxfId="45" tableBorderDxfId="44">
  <autoFilter ref="A3:E24" xr:uid="{47CBC549-31AC-40F1-8C4A-DA2EC2714822}"/>
  <tableColumns count="5">
    <tableColumn id="1" xr3:uid="{BA7A3A1D-8D23-4323-B21E-8E9BA2319B4F}" name="Usuário" dataDxfId="43"/>
    <tableColumn id="2" xr3:uid="{EB8EEE12-D039-4568-A37E-4F114F2384B5}" name="Processador" dataDxfId="42"/>
    <tableColumn id="3" xr3:uid="{C219BA14-3DC6-4CC9-8804-3D8297F1B879}" name="Memória " dataDxfId="41"/>
    <tableColumn id="4" xr3:uid="{9DA0199A-A4A9-4F01-890D-9376DDA2EBDD}" name="Coluna1" dataDxfId="40"/>
    <tableColumn id="5" xr3:uid="{53B3EA9B-0138-472E-880E-189E15307E88}" name="Coluna2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C2D1F-3B38-41E7-9D5C-D585AF84323E}" name="RefProc" displayName="RefProc" ref="A3:E14" totalsRowShown="0">
  <autoFilter ref="A3:E14" xr:uid="{116C2D1F-3B38-41E7-9D5C-D585AF84323E}"/>
  <tableColumns count="5">
    <tableColumn id="1" xr3:uid="{B96F95CA-6E4C-47BF-874A-A57287972670}" name="Modelo"/>
    <tableColumn id="2" xr3:uid="{036EB4D1-4EA0-4DE0-8D73-BB02FAD0093F}" name="Geração Intel" dataDxfId="38"/>
    <tableColumn id="3" xr3:uid="{42168BF9-07FE-44F3-9148-C5F762A5D806}" name="Arquitetura" dataDxfId="37"/>
    <tableColumn id="4" xr3:uid="{F7B78667-1389-4A4D-A6F6-C634B507692F}" name="Ano de lançamento" dataDxfId="36"/>
    <tableColumn id="5" xr3:uid="{2CBB3A39-0B20-4591-A1BB-6599316C40E2}" name="Segm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BCAA8F-B92C-4F1A-9BA6-0741B865EC4D}" name="PlanoMaquinas" displayName="PlanoMaquinas" ref="A14:N35" totalsRowShown="0" headerRowDxfId="35">
  <autoFilter ref="A14:N35" xr:uid="{3DBCAA8F-B92C-4F1A-9BA6-0741B865EC4D}"/>
  <sortState xmlns:xlrd2="http://schemas.microsoft.com/office/spreadsheetml/2017/richdata2" ref="A15:N35">
    <sortCondition descending="1" ref="H14:H35"/>
  </sortState>
  <tableColumns count="14">
    <tableColumn id="1" xr3:uid="{BA33DE4D-A42D-4209-90C1-8FFCEF4F153E}" name="Usuário" dataDxfId="34">
      <calculatedColumnFormula>Planilha1!A4</calculatedColumnFormula>
    </tableColumn>
    <tableColumn id="2" xr3:uid="{86E0B123-FA08-48D4-AA39-535C8CCCDAC4}" name="Tipo" dataDxfId="33">
      <calculatedColumnFormula>IF(Planilha1!E4="DT","Desktop","Notebook")</calculatedColumnFormula>
    </tableColumn>
    <tableColumn id="3" xr3:uid="{3959081F-487A-42BD-9D16-D9B1861CA4D6}" name="Processador" dataDxfId="32">
      <calculatedColumnFormula>Planilha1!B4</calculatedColumnFormula>
    </tableColumn>
    <tableColumn id="4" xr3:uid="{D0053B56-A803-4EB8-9B16-50C36E8678FC}" name="Memória" dataDxfId="31">
      <calculatedColumnFormula>Planilha1!C4</calculatedColumnFormula>
    </tableColumn>
    <tableColumn id="5" xr3:uid="{A52EEBB9-EEE5-4806-9730-38F45B6AAE50}" name="Modelo">
      <calculatedColumnFormula>TRIM(SUBSTITUTE(SUBSTITUTE(C15,"INTEL CORE ",""),"INTEL ",""))</calculatedColumnFormula>
    </tableColumn>
    <tableColumn id="6" xr3:uid="{3E8D9B4F-1C02-4B95-B7AE-F14EB4AEEB89}" name="Geração" dataDxfId="30">
      <calculatedColumnFormula>_xlfn.XLOOKUP(E15,RefProc[Modelo],RefProc[Geração Intel])</calculatedColumnFormula>
    </tableColumn>
    <tableColumn id="7" xr3:uid="{144F4AAF-5F9A-432E-BBF4-74A0EEA4E6E6}" name="Ano lanç." dataDxfId="29">
      <calculatedColumnFormula>_xlfn.XLOOKUP(E15,RefProc[Modelo],RefProc[Ano de lançamento])</calculatedColumnFormula>
    </tableColumn>
    <tableColumn id="8" xr3:uid="{09D72A28-97F0-490C-A6B1-B8285F4DB210}" name="Idade (anos)" dataDxfId="28">
      <calculatedColumnFormula>$B$5-G15</calculatedColumnFormula>
    </tableColumn>
    <tableColumn id="9" xr3:uid="{1E94F757-0D4F-4939-B8D8-41794205C3C2}" name="RAM (GB)" dataDxfId="27">
      <calculatedColumnFormula>VALUE(LEFT(D15,SEARCH("GB",D15)-1))</calculatedColumnFormula>
    </tableColumn>
    <tableColumn id="10" xr3:uid="{81C1F5FA-3809-4375-94E2-36D0E9125FC1}" name="Tipo RAM">
      <calculatedColumnFormula>RIGHT(TRIM(D15),4)</calculatedColumnFormula>
    </tableColumn>
    <tableColumn id="11" xr3:uid="{8DCCF3B8-3E17-4716-BA0A-789C29879EDD}" name="Compatível Win11">
      <calculatedColumnFormula>IF(F15&gt;=$B$6,"Sim","Não")</calculatedColumnFormula>
    </tableColumn>
    <tableColumn id="12" xr3:uid="{78EBD313-2139-4B66-9E23-E3A9E2C81952}" name="Ação recomendada">
      <calculatedColumnFormula>IF(K15="Não","Substituir",IF(I15&lt;$B$7,"Upgrade de memória",IF(H15&gt;$B$11,"Manter – monitorar","Manter")))</calculatedColumnFormula>
    </tableColumn>
    <tableColumn id="13" xr3:uid="{DCB6266A-B66C-42EE-BF35-61CD3DAE1D55}" name="Fase">
      <calculatedColumnFormula>IF(L15="Substituir",IF(OR(F15&lt;=2,I15&lt;8),"Fase 1 – Imediata","Fase 2 – Curto prazo"),IF(L15="Upgrade de memória","Fase 3 – Upgrade","Manter"))</calculatedColumnFormula>
    </tableColumn>
    <tableColumn id="14" xr3:uid="{FEE561F1-8728-47D1-8563-C7861373731B}" name="Custo estimado (R$)" dataDxfId="26">
      <calculatedColumnFormula>IF(L15="Substituir",IF(B15="Desktop",$B$8,$B$9),IF(L15="Upgrade de memória",$B$10,0))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312F95-EEF3-4423-916B-EF06C0C14CB5}" name="Reaproveitamento" displayName="Reaproveitamento" ref="A11:K19" totalsRowShown="0" headerRowDxfId="25" dataDxfId="24">
  <autoFilter ref="A11:K19" xr:uid="{14312F95-EEF3-4423-916B-EF06C0C14CB5}"/>
  <tableColumns count="11">
    <tableColumn id="1" xr3:uid="{9BFE9413-6F65-4946-9D2F-4CA13F69D6C6}" name="Usuário atual" dataDxfId="23"/>
    <tableColumn id="2" xr3:uid="{89CAFFB3-FC6F-4618-AACD-0772CE5420CA}" name="Tipo" dataDxfId="22">
      <calculatedColumnFormula>_xlfn.XLOOKUP($A12,PlanoMaquinas[Usuário],PlanoMaquinas[Tipo])</calculatedColumnFormula>
    </tableColumn>
    <tableColumn id="3" xr3:uid="{F675AB66-D2A2-42AC-878D-BFE7F4F30C05}" name="Processador" dataDxfId="21">
      <calculatedColumnFormula>_xlfn.XLOOKUP($A12,PlanoMaquinas[Usuário],PlanoMaquinas[Processador])</calculatedColumnFormula>
    </tableColumn>
    <tableColumn id="4" xr3:uid="{9FBC29DF-B342-40C4-9742-45505D61DEBB}" name="Memória" dataDxfId="20">
      <calculatedColumnFormula>_xlfn.XLOOKUP($A12,PlanoMaquinas[Usuário],PlanoMaquinas[Memória])</calculatedColumnFormula>
    </tableColumn>
    <tableColumn id="5" xr3:uid="{E485A28B-A8EB-4860-ADAF-D0C959626B5F}" name="Ano lanç." dataDxfId="19">
      <calculatedColumnFormula>_xlfn.XLOOKUP($A12,PlanoMaquinas[Usuário],PlanoMaquinas[Ano lanç.])</calculatedColumnFormula>
    </tableColumn>
    <tableColumn id="6" xr3:uid="{D3463226-081D-4C08-AA52-160625F14B98}" name="Idade (anos)" dataDxfId="18">
      <calculatedColumnFormula>_xlfn.XLOOKUP($A12,PlanoMaquinas[Usuário],PlanoMaquinas[Idade (anos)])</calculatedColumnFormula>
    </tableColumn>
    <tableColumn id="7" xr3:uid="{5CDD4C95-B5C4-48BD-A195-8F95913B5E0F}" name="Recomendação" dataDxfId="17"/>
    <tableColumn id="8" xr3:uid="{62E32ABE-0C41-4BD7-80B4-A51E6AAD8E24}" name="Possível uso" dataDxfId="16"/>
    <tableColumn id="9" xr3:uid="{48179398-2A86-4B67-80F6-4F18FF826E7E}" name="Sistema operacional sugerido" dataDxfId="15"/>
    <tableColumn id="10" xr3:uid="{9C1444A9-113B-42F0-BDCA-30C45DDBA129}" name="Justificativa" dataDxfId="14"/>
    <tableColumn id="11" xr3:uid="{6544E563-E901-42D0-9C06-D7E03C3E11EF}" name="Custo preparação (R$)" dataDxfId="13">
      <calculatedColumnFormula>IF(LEFT(G12,12)="Reaproveitar",$B$5,0)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235107-7331-4833-9065-0B9A08541C46}" name="DeprecSimples" displayName="DeprecSimples" ref="A13:O35" totalsRowCount="1" headerRowDxfId="60">
  <autoFilter ref="A13:O34" xr:uid="{CC235107-7331-4833-9065-0B9A08541C46}"/>
  <tableColumns count="15">
    <tableColumn id="1" xr3:uid="{A668FE87-A40F-4194-AB8C-D74FA56A1DEB}" name="Usuário" totalsRowLabel="Total" dataDxfId="59">
      <calculatedColumnFormula>Planilha1!A4</calculatedColumnFormula>
    </tableColumn>
    <tableColumn id="2" xr3:uid="{E87DE948-A220-4B1C-9F90-CB5F73CD6C6E}" name="Tipo" dataDxfId="58">
      <calculatedColumnFormula>IF(Planilha1!E4="DT","Desktop","Notebook")</calculatedColumnFormula>
    </tableColumn>
    <tableColumn id="3" xr3:uid="{0E8B1043-4019-44B6-AC6A-6A80DE90819D}" name="Processador" dataDxfId="57">
      <calculatedColumnFormula>Planilha1!B4</calculatedColumnFormula>
    </tableColumn>
    <tableColumn id="4" xr3:uid="{6673313C-6CFE-4EE7-B644-A3DA7CA14EDB}" name="Ano de aquisição (est.)" dataDxfId="56">
      <calculatedColumnFormula>_xlfn.XLOOKUP(A14,PlanoMaquinas[Usuário],PlanoMaquinas[Ano lanç.])+$B$10</calculatedColumnFormula>
    </tableColumn>
    <tableColumn id="5" xr3:uid="{B1AA98D4-9436-4F97-9E5A-E2F1E799E8EE}" name="Valor da máquina (R$)" totalsRowFunction="sum" dataDxfId="55">
      <calculatedColumnFormula>IF(B14="Desktop",$B$8,$B$9)</calculatedColumnFormula>
    </tableColumn>
    <tableColumn id="6" xr3:uid="{78A53D36-050E-4D94-A9ED-D48AB2EBE991}" name="Prazo (meses)" dataDxfId="54">
      <calculatedColumnFormula>IF(B14="Desktop",$B$6,$B$7)</calculatedColumnFormula>
    </tableColumn>
    <tableColumn id="7" xr3:uid="{51AB2591-CDAA-499F-A425-B099757DDE9B}" name="Guardar por mês (R$)" totalsRowFunction="sum" dataDxfId="53">
      <calculatedColumnFormula>E14/F14</calculatedColumnFormula>
    </tableColumn>
    <tableColumn id="8" xr3:uid="{F244A853-785A-422E-81E6-E925E8B4D340}" name="Guardar por ano (R$)" totalsRowFunction="sum" dataDxfId="52">
      <calculatedColumnFormula>G14*12</calculatedColumnFormula>
    </tableColumn>
    <tableColumn id="9" xr3:uid="{7C74A35C-FB7B-44DD-AB02-F4246DAB719A}" name="Meses de uso" dataDxfId="51">
      <calculatedColumnFormula>DATEDIF(DATE(D14,1,1),$B$5,"m")</calculatedColumnFormula>
    </tableColumn>
    <tableColumn id="10" xr3:uid="{5A3B4DA4-0EDC-41C3-A6C5-8571155F3638}" name="Valor já depreciado (R$)" totalsRowFunction="sum" dataDxfId="50">
      <calculatedColumnFormula>MIN(I14,F14)*G14</calculatedColumnFormula>
    </tableColumn>
    <tableColumn id="11" xr3:uid="{D7B79FD4-6514-4CFD-B1A7-BC4392830AB7}" name="Saldo a depreciar (R$)" totalsRowFunction="sum" dataDxfId="49">
      <calculatedColumnFormula>E14-J14</calculatedColumnFormula>
    </tableColumn>
    <tableColumn id="12" xr3:uid="{0078209A-5A43-442F-9D3E-27B812FE4B51}" name="Zera em" dataDxfId="48">
      <calculatedColumnFormula>EDATE(DATE(D14,1,1),F14)</calculatedColumnFormula>
    </tableColumn>
    <tableColumn id="13" xr3:uid="{55FCEBE4-CBB5-4F20-8B04-F90B63AE0E5A}" name="Situação">
      <calculatedColumnFormula>IF(I14&gt;=F14,"Zerada","Em depreciação")</calculatedColumnFormula>
    </tableColumn>
    <tableColumn id="14" xr3:uid="{D3EB2B22-4E67-4714-823D-BDD84F12ECC4}" name="Meses após zerar" dataDxfId="47">
      <calculatedColumnFormula>MAX(0,I14-F14)</calculatedColumnFormula>
    </tableColumn>
    <tableColumn id="15" xr3:uid="{322A91DF-54A8-40A4-9B5B-E249904CCFF2}" name="“Lucro” após zerar (R$)" totalsRowFunction="sum" dataDxfId="46">
      <calculatedColumnFormula>N14*G14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7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DCE217-68D9-40F1-9A68-2321A1F5672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877f35e-dbf8-4df5-8dd1-f2ce589db9b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showGridLines="0" workbookViewId="0">
      <selection activeCell="P5" sqref="P5"/>
    </sheetView>
  </sheetViews>
  <sheetFormatPr defaultColWidth="12.7109375" defaultRowHeight="15" customHeight="1" x14ac:dyDescent="0.25"/>
  <cols>
    <col min="1" max="1" width="30.5703125" customWidth="1"/>
    <col min="2" max="2" width="28.7109375" customWidth="1"/>
    <col min="3" max="3" width="17.5703125" customWidth="1"/>
    <col min="4" max="5" width="10.5703125" customWidth="1"/>
    <col min="6" max="26" width="8.7109375" customWidth="1"/>
  </cols>
  <sheetData>
    <row r="1" spans="1:5" ht="31.9" customHeight="1" x14ac:dyDescent="0.25">
      <c r="A1" s="42" t="s">
        <v>0</v>
      </c>
      <c r="B1" s="42"/>
      <c r="C1" s="42"/>
      <c r="D1" s="1"/>
      <c r="E1" s="1"/>
    </row>
    <row r="2" spans="1:5" ht="9" customHeight="1" x14ac:dyDescent="0.25">
      <c r="A2" s="2"/>
      <c r="B2" s="2"/>
      <c r="C2" s="2"/>
      <c r="D2" s="1"/>
      <c r="E2" s="1"/>
    </row>
    <row r="3" spans="1:5" ht="24" customHeight="1" thickBot="1" x14ac:dyDescent="0.3">
      <c r="A3" s="3" t="s">
        <v>1</v>
      </c>
      <c r="B3" s="3" t="s">
        <v>2</v>
      </c>
      <c r="C3" s="4" t="s">
        <v>3</v>
      </c>
      <c r="D3" s="1" t="s">
        <v>48</v>
      </c>
      <c r="E3" s="1" t="s">
        <v>49</v>
      </c>
    </row>
    <row r="4" spans="1:5" ht="19.899999999999999" customHeight="1" x14ac:dyDescent="0.25">
      <c r="A4" s="5" t="s">
        <v>4</v>
      </c>
      <c r="B4" s="5" t="s">
        <v>5</v>
      </c>
      <c r="C4" s="6" t="s">
        <v>6</v>
      </c>
      <c r="D4" s="1" t="s">
        <v>45</v>
      </c>
      <c r="E4" s="1" t="s">
        <v>47</v>
      </c>
    </row>
    <row r="5" spans="1:5" ht="19.899999999999999" customHeight="1" x14ac:dyDescent="0.25">
      <c r="A5" s="7" t="s">
        <v>7</v>
      </c>
      <c r="B5" s="7" t="s">
        <v>8</v>
      </c>
      <c r="C5" s="8" t="s">
        <v>6</v>
      </c>
      <c r="D5" s="1" t="s">
        <v>45</v>
      </c>
      <c r="E5" s="1" t="s">
        <v>47</v>
      </c>
    </row>
    <row r="6" spans="1:5" ht="19.899999999999999" customHeight="1" x14ac:dyDescent="0.25">
      <c r="A6" s="5" t="s">
        <v>9</v>
      </c>
      <c r="B6" s="5" t="s">
        <v>8</v>
      </c>
      <c r="C6" s="6" t="s">
        <v>6</v>
      </c>
      <c r="D6" s="1" t="s">
        <v>45</v>
      </c>
      <c r="E6" s="1" t="s">
        <v>47</v>
      </c>
    </row>
    <row r="7" spans="1:5" ht="19.899999999999999" customHeight="1" x14ac:dyDescent="0.25">
      <c r="A7" s="7" t="s">
        <v>10</v>
      </c>
      <c r="B7" s="7" t="s">
        <v>11</v>
      </c>
      <c r="C7" s="8" t="s">
        <v>12</v>
      </c>
      <c r="D7" s="1"/>
      <c r="E7" s="1" t="s">
        <v>46</v>
      </c>
    </row>
    <row r="8" spans="1:5" ht="19.899999999999999" customHeight="1" x14ac:dyDescent="0.25">
      <c r="A8" s="5" t="s">
        <v>13</v>
      </c>
      <c r="B8" s="5" t="s">
        <v>14</v>
      </c>
      <c r="C8" s="6" t="s">
        <v>15</v>
      </c>
      <c r="D8" s="1"/>
      <c r="E8" s="1" t="s">
        <v>47</v>
      </c>
    </row>
    <row r="9" spans="1:5" ht="19.899999999999999" customHeight="1" x14ac:dyDescent="0.25">
      <c r="A9" s="7" t="s">
        <v>16</v>
      </c>
      <c r="B9" s="7" t="s">
        <v>5</v>
      </c>
      <c r="C9" s="8" t="s">
        <v>6</v>
      </c>
      <c r="D9" s="1" t="s">
        <v>45</v>
      </c>
      <c r="E9" s="1" t="s">
        <v>47</v>
      </c>
    </row>
    <row r="10" spans="1:5" ht="19.899999999999999" customHeight="1" x14ac:dyDescent="0.25">
      <c r="A10" s="5" t="s">
        <v>17</v>
      </c>
      <c r="B10" s="5" t="s">
        <v>18</v>
      </c>
      <c r="C10" s="6" t="s">
        <v>6</v>
      </c>
      <c r="D10" s="1" t="s">
        <v>45</v>
      </c>
      <c r="E10" s="1" t="s">
        <v>47</v>
      </c>
    </row>
    <row r="11" spans="1:5" ht="19.899999999999999" customHeight="1" x14ac:dyDescent="0.25">
      <c r="A11" s="7" t="s">
        <v>19</v>
      </c>
      <c r="B11" s="7" t="s">
        <v>20</v>
      </c>
      <c r="C11" s="8" t="s">
        <v>21</v>
      </c>
      <c r="D11" s="1"/>
      <c r="E11" s="1" t="s">
        <v>46</v>
      </c>
    </row>
    <row r="12" spans="1:5" ht="19.899999999999999" customHeight="1" x14ac:dyDescent="0.25">
      <c r="A12" s="5" t="s">
        <v>22</v>
      </c>
      <c r="B12" s="5" t="s">
        <v>23</v>
      </c>
      <c r="C12" s="6" t="s">
        <v>21</v>
      </c>
      <c r="D12" s="1"/>
      <c r="E12" s="1" t="s">
        <v>47</v>
      </c>
    </row>
    <row r="13" spans="1:5" ht="19.899999999999999" customHeight="1" x14ac:dyDescent="0.25">
      <c r="A13" s="7" t="s">
        <v>24</v>
      </c>
      <c r="B13" s="7" t="s">
        <v>11</v>
      </c>
      <c r="C13" s="8" t="s">
        <v>21</v>
      </c>
      <c r="D13" s="1"/>
      <c r="E13" s="1" t="s">
        <v>46</v>
      </c>
    </row>
    <row r="14" spans="1:5" ht="19.899999999999999" customHeight="1" x14ac:dyDescent="0.25">
      <c r="A14" s="5" t="s">
        <v>25</v>
      </c>
      <c r="B14" s="5" t="s">
        <v>20</v>
      </c>
      <c r="C14" s="6" t="s">
        <v>21</v>
      </c>
      <c r="D14" s="1"/>
      <c r="E14" s="1" t="s">
        <v>46</v>
      </c>
    </row>
    <row r="15" spans="1:5" ht="19.899999999999999" customHeight="1" x14ac:dyDescent="0.25">
      <c r="A15" s="7" t="s">
        <v>26</v>
      </c>
      <c r="B15" s="7" t="s">
        <v>27</v>
      </c>
      <c r="C15" s="8" t="s">
        <v>28</v>
      </c>
      <c r="D15" s="1" t="s">
        <v>45</v>
      </c>
      <c r="E15" s="1" t="s">
        <v>47</v>
      </c>
    </row>
    <row r="16" spans="1:5" ht="19.899999999999999" customHeight="1" x14ac:dyDescent="0.25">
      <c r="A16" s="5" t="s">
        <v>29</v>
      </c>
      <c r="B16" s="5" t="s">
        <v>30</v>
      </c>
      <c r="C16" s="6" t="s">
        <v>31</v>
      </c>
      <c r="D16" s="1" t="s">
        <v>45</v>
      </c>
      <c r="E16" s="1" t="s">
        <v>47</v>
      </c>
    </row>
    <row r="17" spans="1:5" ht="19.899999999999999" customHeight="1" x14ac:dyDescent="0.25">
      <c r="A17" s="7" t="s">
        <v>32</v>
      </c>
      <c r="B17" s="7" t="s">
        <v>33</v>
      </c>
      <c r="C17" s="8" t="s">
        <v>34</v>
      </c>
      <c r="D17" s="1"/>
      <c r="E17" s="1" t="s">
        <v>47</v>
      </c>
    </row>
    <row r="18" spans="1:5" ht="19.899999999999999" customHeight="1" x14ac:dyDescent="0.25">
      <c r="A18" s="5" t="s">
        <v>35</v>
      </c>
      <c r="B18" s="5" t="s">
        <v>36</v>
      </c>
      <c r="C18" s="6" t="s">
        <v>21</v>
      </c>
      <c r="D18" s="1"/>
      <c r="E18" s="1" t="s">
        <v>46</v>
      </c>
    </row>
    <row r="19" spans="1:5" ht="19.899999999999999" customHeight="1" x14ac:dyDescent="0.25">
      <c r="A19" s="7" t="s">
        <v>37</v>
      </c>
      <c r="B19" s="7" t="s">
        <v>36</v>
      </c>
      <c r="C19" s="8" t="s">
        <v>21</v>
      </c>
      <c r="D19" s="1"/>
      <c r="E19" s="1" t="s">
        <v>46</v>
      </c>
    </row>
    <row r="20" spans="1:5" ht="19.899999999999999" customHeight="1" x14ac:dyDescent="0.25">
      <c r="A20" s="5" t="s">
        <v>38</v>
      </c>
      <c r="B20" s="5" t="s">
        <v>39</v>
      </c>
      <c r="C20" s="6" t="s">
        <v>40</v>
      </c>
      <c r="D20" s="1"/>
      <c r="E20" s="1" t="s">
        <v>46</v>
      </c>
    </row>
    <row r="21" spans="1:5" ht="19.899999999999999" customHeight="1" x14ac:dyDescent="0.25">
      <c r="A21" s="7" t="s">
        <v>41</v>
      </c>
      <c r="B21" s="7" t="s">
        <v>36</v>
      </c>
      <c r="C21" s="8" t="s">
        <v>21</v>
      </c>
      <c r="D21" s="1"/>
      <c r="E21" s="1" t="s">
        <v>46</v>
      </c>
    </row>
    <row r="22" spans="1:5" ht="19.899999999999999" customHeight="1" x14ac:dyDescent="0.25">
      <c r="A22" s="5" t="s">
        <v>42</v>
      </c>
      <c r="B22" s="5" t="s">
        <v>11</v>
      </c>
      <c r="C22" s="6" t="s">
        <v>21</v>
      </c>
      <c r="D22" s="1"/>
      <c r="E22" s="1" t="s">
        <v>46</v>
      </c>
    </row>
    <row r="23" spans="1:5" ht="19.899999999999999" customHeight="1" x14ac:dyDescent="0.25">
      <c r="A23" s="7" t="s">
        <v>43</v>
      </c>
      <c r="B23" s="7" t="s">
        <v>11</v>
      </c>
      <c r="C23" s="8" t="s">
        <v>21</v>
      </c>
      <c r="D23" s="1"/>
      <c r="E23" s="1" t="s">
        <v>46</v>
      </c>
    </row>
    <row r="24" spans="1:5" ht="19.899999999999999" customHeight="1" x14ac:dyDescent="0.25">
      <c r="A24" s="9" t="s">
        <v>44</v>
      </c>
      <c r="B24" s="9" t="s">
        <v>11</v>
      </c>
      <c r="C24" s="10" t="s">
        <v>21</v>
      </c>
      <c r="D24" s="1"/>
      <c r="E24" s="1" t="s">
        <v>46</v>
      </c>
    </row>
    <row r="25" spans="1:5" ht="14.25" customHeight="1" x14ac:dyDescent="0.25">
      <c r="A25" s="1"/>
      <c r="B25" s="1"/>
      <c r="C25" s="1"/>
      <c r="D25" s="1"/>
      <c r="E25" s="1"/>
    </row>
    <row r="26" spans="1:5" ht="14.25" customHeight="1" x14ac:dyDescent="0.25">
      <c r="A26" s="1"/>
      <c r="B26" s="1"/>
      <c r="C26" s="1"/>
      <c r="D26" s="1"/>
      <c r="E26" s="1"/>
    </row>
    <row r="27" spans="1:5" ht="14.25" customHeight="1" x14ac:dyDescent="0.25"/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mergeCells count="1">
    <mergeCell ref="A1:C1"/>
  </mergeCells>
  <pageMargins left="0.511811024" right="0.511811024" top="0.78740157499999996" bottom="0.78740157499999996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887F-2C76-4747-B847-702CC5C35574}">
  <dimension ref="A1:E14"/>
  <sheetViews>
    <sheetView workbookViewId="0">
      <selection activeCell="D9" sqref="D9"/>
    </sheetView>
  </sheetViews>
  <sheetFormatPr defaultRowHeight="15" x14ac:dyDescent="0.25"/>
  <cols>
    <col min="1" max="1" width="72.140625" bestFit="1" customWidth="1"/>
    <col min="2" max="2" width="15.42578125" bestFit="1" customWidth="1"/>
    <col min="3" max="3" width="13.42578125" bestFit="1" customWidth="1"/>
    <col min="4" max="4" width="20.7109375" bestFit="1" customWidth="1"/>
    <col min="5" max="5" width="12.42578125" bestFit="1" customWidth="1"/>
  </cols>
  <sheetData>
    <row r="1" spans="1:5" ht="17.25" x14ac:dyDescent="0.3">
      <c r="A1" s="12" t="s">
        <v>50</v>
      </c>
    </row>
    <row r="3" spans="1:5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</row>
    <row r="4" spans="1:5" x14ac:dyDescent="0.25">
      <c r="A4" t="s">
        <v>56</v>
      </c>
      <c r="B4" s="13">
        <v>1</v>
      </c>
      <c r="C4" s="13" t="s">
        <v>57</v>
      </c>
      <c r="D4" s="14">
        <v>2010</v>
      </c>
      <c r="E4" t="s">
        <v>58</v>
      </c>
    </row>
    <row r="5" spans="1:5" x14ac:dyDescent="0.25">
      <c r="A5" t="s">
        <v>59</v>
      </c>
      <c r="B5" s="13">
        <v>2</v>
      </c>
      <c r="C5" s="13" t="s">
        <v>60</v>
      </c>
      <c r="D5" s="14">
        <v>2011</v>
      </c>
      <c r="E5" t="s">
        <v>58</v>
      </c>
    </row>
    <row r="6" spans="1:5" x14ac:dyDescent="0.25">
      <c r="A6" t="s">
        <v>61</v>
      </c>
      <c r="B6" s="13">
        <v>3</v>
      </c>
      <c r="C6" s="13" t="s">
        <v>62</v>
      </c>
      <c r="D6" s="14">
        <v>2012</v>
      </c>
      <c r="E6" t="s">
        <v>58</v>
      </c>
    </row>
    <row r="7" spans="1:5" x14ac:dyDescent="0.25">
      <c r="A7" t="s">
        <v>63</v>
      </c>
      <c r="B7" s="13">
        <v>3</v>
      </c>
      <c r="C7" s="13" t="s">
        <v>62</v>
      </c>
      <c r="D7" s="14">
        <v>2012</v>
      </c>
      <c r="E7" t="s">
        <v>58</v>
      </c>
    </row>
    <row r="8" spans="1:5" x14ac:dyDescent="0.25">
      <c r="A8" t="s">
        <v>64</v>
      </c>
      <c r="B8" s="13">
        <v>7</v>
      </c>
      <c r="C8" s="13" t="s">
        <v>65</v>
      </c>
      <c r="D8" s="14">
        <v>2017</v>
      </c>
      <c r="E8" t="s">
        <v>58</v>
      </c>
    </row>
    <row r="9" spans="1:5" x14ac:dyDescent="0.25">
      <c r="A9" t="s">
        <v>66</v>
      </c>
      <c r="B9" s="13">
        <v>11</v>
      </c>
      <c r="C9" s="13" t="s">
        <v>67</v>
      </c>
      <c r="D9" s="14">
        <v>2020</v>
      </c>
      <c r="E9" t="s">
        <v>68</v>
      </c>
    </row>
    <row r="10" spans="1:5" x14ac:dyDescent="0.25">
      <c r="A10" t="s">
        <v>69</v>
      </c>
      <c r="B10" s="13">
        <v>12</v>
      </c>
      <c r="C10" s="13" t="s">
        <v>70</v>
      </c>
      <c r="D10" s="14">
        <v>2022</v>
      </c>
      <c r="E10" t="s">
        <v>58</v>
      </c>
    </row>
    <row r="11" spans="1:5" x14ac:dyDescent="0.25">
      <c r="A11" t="s">
        <v>71</v>
      </c>
      <c r="B11" s="13">
        <v>12</v>
      </c>
      <c r="C11" s="13" t="s">
        <v>70</v>
      </c>
      <c r="D11" s="14">
        <v>2022</v>
      </c>
      <c r="E11" t="s">
        <v>58</v>
      </c>
    </row>
    <row r="12" spans="1:5" x14ac:dyDescent="0.25">
      <c r="A12" t="s">
        <v>72</v>
      </c>
      <c r="B12" s="13">
        <v>13</v>
      </c>
      <c r="C12" s="13" t="s">
        <v>73</v>
      </c>
      <c r="D12" s="14">
        <v>2023</v>
      </c>
      <c r="E12" t="s">
        <v>68</v>
      </c>
    </row>
    <row r="13" spans="1:5" x14ac:dyDescent="0.25">
      <c r="A13" t="s">
        <v>74</v>
      </c>
      <c r="B13" s="13">
        <v>13</v>
      </c>
      <c r="C13" s="13" t="s">
        <v>73</v>
      </c>
      <c r="D13" s="14">
        <v>2023</v>
      </c>
      <c r="E13" t="s">
        <v>68</v>
      </c>
    </row>
    <row r="14" spans="1:5" x14ac:dyDescent="0.25">
      <c r="A14" t="s">
        <v>75</v>
      </c>
      <c r="B14" s="13">
        <v>13</v>
      </c>
      <c r="C14" s="13" t="s">
        <v>73</v>
      </c>
      <c r="D14" s="14">
        <v>2023</v>
      </c>
      <c r="E14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914E-779D-47B4-8E26-702F1AE37EEC}">
  <sheetPr>
    <pageSetUpPr fitToPage="1"/>
  </sheetPr>
  <dimension ref="A1:N44"/>
  <sheetViews>
    <sheetView tabSelected="1" topLeftCell="A6" workbookViewId="0">
      <selection activeCell="M1" sqref="M1:M1048576"/>
    </sheetView>
  </sheetViews>
  <sheetFormatPr defaultRowHeight="15" x14ac:dyDescent="0.25"/>
  <cols>
    <col min="1" max="1" width="35.42578125" customWidth="1"/>
    <col min="2" max="2" width="15.28515625" customWidth="1"/>
    <col min="3" max="3" width="26.7109375" customWidth="1"/>
    <col min="4" max="4" width="20.140625" customWidth="1"/>
    <col min="5" max="5" width="14.28515625" customWidth="1"/>
    <col min="6" max="6" width="19.7109375" bestFit="1" customWidth="1"/>
    <col min="7" max="7" width="15.7109375" bestFit="1" customWidth="1"/>
    <col min="8" max="8" width="14.28515625" customWidth="1"/>
    <col min="9" max="9" width="11.7109375" bestFit="1" customWidth="1"/>
    <col min="10" max="10" width="11.5703125" bestFit="1" customWidth="1"/>
    <col min="11" max="11" width="13.7109375" bestFit="1" customWidth="1"/>
    <col min="12" max="12" width="21" customWidth="1"/>
    <col min="13" max="13" width="18.7109375" bestFit="1" customWidth="1"/>
    <col min="14" max="14" width="15" customWidth="1"/>
  </cols>
  <sheetData>
    <row r="1" spans="1:14" ht="18.75" x14ac:dyDescent="0.3">
      <c r="A1" s="15" t="s">
        <v>76</v>
      </c>
    </row>
    <row r="2" spans="1:14" x14ac:dyDescent="0.25">
      <c r="A2" s="16" t="s">
        <v>77</v>
      </c>
    </row>
    <row r="4" spans="1:14" ht="15.95" customHeight="1" x14ac:dyDescent="0.25">
      <c r="A4" s="20" t="s">
        <v>78</v>
      </c>
      <c r="B4" s="20" t="s">
        <v>79</v>
      </c>
      <c r="D4" s="20" t="s">
        <v>98</v>
      </c>
      <c r="E4" s="20" t="s">
        <v>99</v>
      </c>
      <c r="F4" s="20" t="s">
        <v>97</v>
      </c>
      <c r="G4" s="20" t="s">
        <v>100</v>
      </c>
      <c r="H4" s="20" t="s">
        <v>101</v>
      </c>
    </row>
    <row r="5" spans="1:14" ht="15.95" customHeight="1" x14ac:dyDescent="0.25">
      <c r="A5" t="s">
        <v>80</v>
      </c>
      <c r="B5" s="14">
        <v>2026</v>
      </c>
      <c r="D5" t="s">
        <v>102</v>
      </c>
      <c r="E5">
        <f>COUNTIFS(PlanoMaquinas[Fase],D5)</f>
        <v>4</v>
      </c>
      <c r="F5" s="27">
        <f>SUMIFS(PlanoMaquinas[Custo estimado (R$)],PlanoMaquinas[Fase],D5)</f>
        <v>18000</v>
      </c>
      <c r="G5" t="s">
        <v>106</v>
      </c>
      <c r="H5" t="s">
        <v>107</v>
      </c>
    </row>
    <row r="6" spans="1:14" ht="15.95" customHeight="1" x14ac:dyDescent="0.25">
      <c r="A6" t="s">
        <v>81</v>
      </c>
      <c r="B6" s="13">
        <v>8</v>
      </c>
      <c r="D6" t="s">
        <v>103</v>
      </c>
      <c r="E6">
        <f>COUNTIFS(PlanoMaquinas[Fase],D6)</f>
        <v>4</v>
      </c>
      <c r="F6" s="27">
        <f>SUMIFS(PlanoMaquinas[Custo estimado (R$)],PlanoMaquinas[Fase],D6)</f>
        <v>18000</v>
      </c>
      <c r="G6" t="s">
        <v>108</v>
      </c>
      <c r="H6" t="s">
        <v>109</v>
      </c>
    </row>
    <row r="7" spans="1:14" ht="15.95" customHeight="1" x14ac:dyDescent="0.25">
      <c r="A7" t="s">
        <v>82</v>
      </c>
      <c r="B7" s="13">
        <v>16</v>
      </c>
      <c r="D7" t="s">
        <v>104</v>
      </c>
      <c r="E7">
        <f>COUNTIFS(PlanoMaquinas[Fase],D7)</f>
        <v>2</v>
      </c>
      <c r="F7" s="27">
        <f>SUMIFS(PlanoMaquinas[Custo estimado (R$)],PlanoMaquinas[Fase],D7)</f>
        <v>500</v>
      </c>
      <c r="G7" t="s">
        <v>106</v>
      </c>
      <c r="H7" t="s">
        <v>110</v>
      </c>
    </row>
    <row r="8" spans="1:14" ht="15.95" customHeight="1" x14ac:dyDescent="0.25">
      <c r="A8" t="s">
        <v>83</v>
      </c>
      <c r="B8" s="26">
        <v>4500</v>
      </c>
      <c r="D8" t="s">
        <v>105</v>
      </c>
      <c r="E8">
        <f>COUNTIFS(PlanoMaquinas[Fase],D8)</f>
        <v>11</v>
      </c>
      <c r="F8" s="27">
        <f>SUMIFS(PlanoMaquinas[Custo estimado (R$)],PlanoMaquinas[Fase],D8)</f>
        <v>0</v>
      </c>
      <c r="G8" t="s">
        <v>111</v>
      </c>
      <c r="H8" t="s">
        <v>112</v>
      </c>
    </row>
    <row r="9" spans="1:14" ht="15.95" customHeight="1" x14ac:dyDescent="0.25">
      <c r="A9" t="s">
        <v>84</v>
      </c>
      <c r="B9" s="26">
        <v>5500</v>
      </c>
      <c r="D9" s="23" t="s">
        <v>113</v>
      </c>
      <c r="E9" s="23">
        <f>SUM(E5:E8)</f>
        <v>21</v>
      </c>
      <c r="F9" s="28">
        <f>SUM(F5:F8)</f>
        <v>36500</v>
      </c>
      <c r="G9" s="24"/>
      <c r="H9" s="24"/>
    </row>
    <row r="10" spans="1:14" ht="15.95" customHeight="1" x14ac:dyDescent="0.25">
      <c r="A10" t="s">
        <v>85</v>
      </c>
      <c r="B10" s="26">
        <v>250</v>
      </c>
    </row>
    <row r="11" spans="1:14" ht="15.95" customHeight="1" x14ac:dyDescent="0.25">
      <c r="A11" t="s">
        <v>86</v>
      </c>
      <c r="B11" s="13">
        <v>5</v>
      </c>
      <c r="D11" t="s">
        <v>114</v>
      </c>
      <c r="E11">
        <f>COUNTIFS(PlanoMaquinas[Compatível Win11],"Sim")</f>
        <v>13</v>
      </c>
      <c r="F11" s="19">
        <f>E11/E9</f>
        <v>0.61904761904761907</v>
      </c>
    </row>
    <row r="12" spans="1:14" ht="15.95" customHeight="1" x14ac:dyDescent="0.25">
      <c r="D12" t="s">
        <v>115</v>
      </c>
      <c r="E12">
        <f>COUNTIFS(PlanoMaquinas[Ação recomendada],"Substituir",PlanoMaquinas[Tipo],"Desktop")</f>
        <v>8</v>
      </c>
      <c r="F12">
        <f>COUNTIFS(PlanoMaquinas[Ação recomendada],"Substituir",PlanoMaquinas[Tipo],"Notebook")</f>
        <v>0</v>
      </c>
    </row>
    <row r="14" spans="1:14" ht="30" x14ac:dyDescent="0.25">
      <c r="A14" s="25" t="s">
        <v>1</v>
      </c>
      <c r="B14" s="25" t="s">
        <v>87</v>
      </c>
      <c r="C14" s="25" t="s">
        <v>2</v>
      </c>
      <c r="D14" s="25" t="s">
        <v>88</v>
      </c>
      <c r="E14" s="25" t="s">
        <v>51</v>
      </c>
      <c r="F14" s="25" t="s">
        <v>89</v>
      </c>
      <c r="G14" s="25" t="s">
        <v>90</v>
      </c>
      <c r="H14" s="25" t="s">
        <v>91</v>
      </c>
      <c r="I14" s="25" t="s">
        <v>92</v>
      </c>
      <c r="J14" s="25" t="s">
        <v>93</v>
      </c>
      <c r="K14" s="25" t="s">
        <v>94</v>
      </c>
      <c r="L14" s="25" t="s">
        <v>95</v>
      </c>
      <c r="M14" s="25" t="s">
        <v>96</v>
      </c>
      <c r="N14" s="25" t="s">
        <v>97</v>
      </c>
    </row>
    <row r="15" spans="1:14" x14ac:dyDescent="0.25">
      <c r="A15" s="18" t="str">
        <f>Planilha1!A4</f>
        <v>PRISCILA FERNANDES</v>
      </c>
      <c r="B15" s="18" t="str">
        <f>IF(Planilha1!E4="DT","Desktop","Notebook")</f>
        <v>Desktop</v>
      </c>
      <c r="C15" s="18" t="str">
        <f>Planilha1!B4</f>
        <v>INTEL I5 650</v>
      </c>
      <c r="D15" s="18" t="str">
        <f>Planilha1!C4</f>
        <v>8 GB DDR3</v>
      </c>
      <c r="E15" t="str">
        <f t="shared" ref="E15:E35" si="0">TRIM(SUBSTITUTE(SUBSTITUTE(C15,"INTEL CORE ",""),"INTEL ",""))</f>
        <v>I5 650</v>
      </c>
      <c r="F15" s="17">
        <f>_xlfn.XLOOKUP(E15,RefProc[Modelo],RefProc[Geração Intel])</f>
        <v>1</v>
      </c>
      <c r="G15" s="17">
        <f>_xlfn.XLOOKUP(E15,RefProc[Modelo],RefProc[Ano de lançamento])</f>
        <v>2010</v>
      </c>
      <c r="H15" s="17">
        <f t="shared" ref="H15:H35" si="1">$B$5-G15</f>
        <v>16</v>
      </c>
      <c r="I15" s="17">
        <f t="shared" ref="I15:I35" si="2">VALUE(LEFT(D15,SEARCH("GB",D15)-1))</f>
        <v>8</v>
      </c>
      <c r="J15" t="str">
        <f t="shared" ref="J15:J35" si="3">RIGHT(TRIM(D15),4)</f>
        <v>DDR3</v>
      </c>
      <c r="K15" t="str">
        <f t="shared" ref="K15:K35" si="4">IF(F15&gt;=$B$6,"Sim","Não")</f>
        <v>Não</v>
      </c>
      <c r="L15" t="str">
        <f t="shared" ref="L15:L35" si="5">IF(K15="Não","Substituir",IF(I15&lt;$B$7,"Upgrade de memória",IF(H15&gt;$B$11,"Manter – monitorar","Manter")))</f>
        <v>Substituir</v>
      </c>
      <c r="M15" t="str">
        <f t="shared" ref="M15:M35" si="6">IF(L15="Substituir",IF(OR(F15&lt;=2,I15&lt;8),"Fase 1 – Imediata","Fase 2 – Curto prazo"),IF(L15="Upgrade de memória","Fase 3 – Upgrade","Manter"))</f>
        <v>Fase 1 – Imediata</v>
      </c>
      <c r="N15" s="27">
        <f t="shared" ref="N15:N35" si="7">IF(L15="Substituir",IF(B15="Desktop",$B$8,$B$9),IF(L15="Upgrade de memória",$B$10,0))</f>
        <v>4500</v>
      </c>
    </row>
    <row r="16" spans="1:14" x14ac:dyDescent="0.25">
      <c r="A16" s="18" t="str">
        <f>Planilha1!A9</f>
        <v>ISMAEL CAMPELO</v>
      </c>
      <c r="B16" s="18" t="str">
        <f>IF(Planilha1!E9="DT","Desktop","Notebook")</f>
        <v>Desktop</v>
      </c>
      <c r="C16" s="18" t="str">
        <f>Planilha1!B9</f>
        <v>INTEL I5 650</v>
      </c>
      <c r="D16" s="18" t="str">
        <f>Planilha1!C9</f>
        <v>8 GB DDR3</v>
      </c>
      <c r="E16" t="str">
        <f t="shared" si="0"/>
        <v>I5 650</v>
      </c>
      <c r="F16" s="17">
        <f>_xlfn.XLOOKUP(E16,RefProc[Modelo],RefProc[Geração Intel])</f>
        <v>1</v>
      </c>
      <c r="G16" s="17">
        <f>_xlfn.XLOOKUP(E16,RefProc[Modelo],RefProc[Ano de lançamento])</f>
        <v>2010</v>
      </c>
      <c r="H16" s="17">
        <f t="shared" si="1"/>
        <v>16</v>
      </c>
      <c r="I16" s="17">
        <f t="shared" si="2"/>
        <v>8</v>
      </c>
      <c r="J16" t="str">
        <f t="shared" si="3"/>
        <v>DDR3</v>
      </c>
      <c r="K16" t="str">
        <f t="shared" si="4"/>
        <v>Não</v>
      </c>
      <c r="L16" t="str">
        <f t="shared" si="5"/>
        <v>Substituir</v>
      </c>
      <c r="M16" t="str">
        <f t="shared" si="6"/>
        <v>Fase 1 – Imediata</v>
      </c>
      <c r="N16" s="27">
        <f t="shared" si="7"/>
        <v>4500</v>
      </c>
    </row>
    <row r="17" spans="1:14" x14ac:dyDescent="0.25">
      <c r="A17" s="18" t="str">
        <f>Planilha1!A16</f>
        <v>MARCOS CARVALHO</v>
      </c>
      <c r="B17" s="18" t="str">
        <f>IF(Planilha1!E16="DT","Desktop","Notebook")</f>
        <v>Desktop</v>
      </c>
      <c r="C17" s="18" t="str">
        <f>Planilha1!B16</f>
        <v>INTEL CORE I5 650</v>
      </c>
      <c r="D17" s="18" t="str">
        <f>Planilha1!C16</f>
        <v>8GB DDR3</v>
      </c>
      <c r="E17" t="str">
        <f t="shared" si="0"/>
        <v>I5 650</v>
      </c>
      <c r="F17" s="17">
        <f>_xlfn.XLOOKUP(E17,RefProc[Modelo],RefProc[Geração Intel])</f>
        <v>1</v>
      </c>
      <c r="G17" s="17">
        <f>_xlfn.XLOOKUP(E17,RefProc[Modelo],RefProc[Ano de lançamento])</f>
        <v>2010</v>
      </c>
      <c r="H17" s="17">
        <f t="shared" si="1"/>
        <v>16</v>
      </c>
      <c r="I17" s="17">
        <f t="shared" si="2"/>
        <v>8</v>
      </c>
      <c r="J17" t="str">
        <f t="shared" si="3"/>
        <v>DDR3</v>
      </c>
      <c r="K17" t="str">
        <f t="shared" si="4"/>
        <v>Não</v>
      </c>
      <c r="L17" t="str">
        <f t="shared" si="5"/>
        <v>Substituir</v>
      </c>
      <c r="M17" t="str">
        <f t="shared" si="6"/>
        <v>Fase 1 – Imediata</v>
      </c>
      <c r="N17" s="27">
        <f t="shared" si="7"/>
        <v>4500</v>
      </c>
    </row>
    <row r="18" spans="1:14" x14ac:dyDescent="0.25">
      <c r="A18" s="18" t="str">
        <f>Planilha1!A15</f>
        <v>SAC</v>
      </c>
      <c r="B18" s="18" t="str">
        <f>IF(Planilha1!E15="DT","Desktop","Notebook")</f>
        <v>Desktop</v>
      </c>
      <c r="C18" s="18" t="str">
        <f>Planilha1!B15</f>
        <v>INTEL CORE I3 2120</v>
      </c>
      <c r="D18" s="18" t="str">
        <f>Planilha1!C15</f>
        <v>4GB DDR3</v>
      </c>
      <c r="E18" t="str">
        <f t="shared" si="0"/>
        <v>I3 2120</v>
      </c>
      <c r="F18" s="17">
        <f>_xlfn.XLOOKUP(E18,RefProc[Modelo],RefProc[Geração Intel])</f>
        <v>2</v>
      </c>
      <c r="G18" s="17">
        <f>_xlfn.XLOOKUP(E18,RefProc[Modelo],RefProc[Ano de lançamento])</f>
        <v>2011</v>
      </c>
      <c r="H18" s="17">
        <f t="shared" si="1"/>
        <v>15</v>
      </c>
      <c r="I18" s="17">
        <f t="shared" si="2"/>
        <v>4</v>
      </c>
      <c r="J18" t="str">
        <f t="shared" si="3"/>
        <v>DDR3</v>
      </c>
      <c r="K18" t="str">
        <f t="shared" si="4"/>
        <v>Não</v>
      </c>
      <c r="L18" t="str">
        <f t="shared" si="5"/>
        <v>Substituir</v>
      </c>
      <c r="M18" t="str">
        <f t="shared" si="6"/>
        <v>Fase 1 – Imediata</v>
      </c>
      <c r="N18" s="27">
        <f t="shared" si="7"/>
        <v>4500</v>
      </c>
    </row>
    <row r="19" spans="1:14" x14ac:dyDescent="0.25">
      <c r="A19" s="18" t="str">
        <f>Planilha1!A5</f>
        <v>IVANILDE MONTENEGRO</v>
      </c>
      <c r="B19" s="18" t="str">
        <f>IF(Planilha1!E5="DT","Desktop","Notebook")</f>
        <v>Desktop</v>
      </c>
      <c r="C19" s="18" t="str">
        <f>Planilha1!B5</f>
        <v>INTEL CORE I5 3470</v>
      </c>
      <c r="D19" s="18" t="str">
        <f>Planilha1!C5</f>
        <v>8 GB DDR3</v>
      </c>
      <c r="E19" t="str">
        <f t="shared" si="0"/>
        <v>I5 3470</v>
      </c>
      <c r="F19" s="17">
        <f>_xlfn.XLOOKUP(E19,RefProc[Modelo],RefProc[Geração Intel])</f>
        <v>3</v>
      </c>
      <c r="G19" s="17">
        <f>_xlfn.XLOOKUP(E19,RefProc[Modelo],RefProc[Ano de lançamento])</f>
        <v>2012</v>
      </c>
      <c r="H19" s="17">
        <f t="shared" si="1"/>
        <v>14</v>
      </c>
      <c r="I19" s="17">
        <f t="shared" si="2"/>
        <v>8</v>
      </c>
      <c r="J19" t="str">
        <f t="shared" si="3"/>
        <v>DDR3</v>
      </c>
      <c r="K19" t="str">
        <f t="shared" si="4"/>
        <v>Não</v>
      </c>
      <c r="L19" t="str">
        <f t="shared" si="5"/>
        <v>Substituir</v>
      </c>
      <c r="M19" t="str">
        <f t="shared" si="6"/>
        <v>Fase 2 – Curto prazo</v>
      </c>
      <c r="N19" s="27">
        <f t="shared" si="7"/>
        <v>4500</v>
      </c>
    </row>
    <row r="20" spans="1:14" x14ac:dyDescent="0.25">
      <c r="A20" s="18" t="str">
        <f>Planilha1!A6</f>
        <v>JAQUELINE LESSA</v>
      </c>
      <c r="B20" s="18" t="str">
        <f>IF(Planilha1!E6="DT","Desktop","Notebook")</f>
        <v>Desktop</v>
      </c>
      <c r="C20" s="18" t="str">
        <f>Planilha1!B6</f>
        <v>INTEL CORE I5 3470</v>
      </c>
      <c r="D20" s="18" t="str">
        <f>Planilha1!C6</f>
        <v>8 GB DDR3</v>
      </c>
      <c r="E20" t="str">
        <f t="shared" si="0"/>
        <v>I5 3470</v>
      </c>
      <c r="F20" s="17">
        <f>_xlfn.XLOOKUP(E20,RefProc[Modelo],RefProc[Geração Intel])</f>
        <v>3</v>
      </c>
      <c r="G20" s="17">
        <f>_xlfn.XLOOKUP(E20,RefProc[Modelo],RefProc[Ano de lançamento])</f>
        <v>2012</v>
      </c>
      <c r="H20" s="17">
        <f t="shared" si="1"/>
        <v>14</v>
      </c>
      <c r="I20" s="17">
        <f t="shared" si="2"/>
        <v>8</v>
      </c>
      <c r="J20" t="str">
        <f t="shared" si="3"/>
        <v>DDR3</v>
      </c>
      <c r="K20" t="str">
        <f t="shared" si="4"/>
        <v>Não</v>
      </c>
      <c r="L20" t="str">
        <f t="shared" si="5"/>
        <v>Substituir</v>
      </c>
      <c r="M20" t="str">
        <f t="shared" si="6"/>
        <v>Fase 2 – Curto prazo</v>
      </c>
      <c r="N20" s="27">
        <f t="shared" si="7"/>
        <v>4500</v>
      </c>
    </row>
    <row r="21" spans="1:14" x14ac:dyDescent="0.25">
      <c r="A21" s="18" t="str">
        <f>Planilha1!A10</f>
        <v>MARCELO GONÇALVES</v>
      </c>
      <c r="B21" s="18" t="str">
        <f>IF(Planilha1!E10="DT","Desktop","Notebook")</f>
        <v>Desktop</v>
      </c>
      <c r="C21" s="18" t="str">
        <f>Planilha1!B10</f>
        <v>INTEL CORE I7 3770</v>
      </c>
      <c r="D21" s="18" t="str">
        <f>Planilha1!C10</f>
        <v>8 GB DDR3</v>
      </c>
      <c r="E21" t="str">
        <f t="shared" si="0"/>
        <v>I7 3770</v>
      </c>
      <c r="F21" s="17">
        <f>_xlfn.XLOOKUP(E21,RefProc[Modelo],RefProc[Geração Intel])</f>
        <v>3</v>
      </c>
      <c r="G21" s="17">
        <f>_xlfn.XLOOKUP(E21,RefProc[Modelo],RefProc[Ano de lançamento])</f>
        <v>2012</v>
      </c>
      <c r="H21" s="17">
        <f t="shared" si="1"/>
        <v>14</v>
      </c>
      <c r="I21" s="17">
        <f t="shared" si="2"/>
        <v>8</v>
      </c>
      <c r="J21" t="str">
        <f t="shared" si="3"/>
        <v>DDR3</v>
      </c>
      <c r="K21" t="str">
        <f t="shared" si="4"/>
        <v>Não</v>
      </c>
      <c r="L21" t="str">
        <f t="shared" si="5"/>
        <v>Substituir</v>
      </c>
      <c r="M21" t="str">
        <f t="shared" si="6"/>
        <v>Fase 2 – Curto prazo</v>
      </c>
      <c r="N21" s="27">
        <f t="shared" si="7"/>
        <v>4500</v>
      </c>
    </row>
    <row r="22" spans="1:14" x14ac:dyDescent="0.25">
      <c r="A22" s="18" t="str">
        <f>Planilha1!A12</f>
        <v>ANDRÉ MANHÃES</v>
      </c>
      <c r="B22" s="18" t="str">
        <f>IF(Planilha1!E12="DT","Desktop","Notebook")</f>
        <v>Desktop</v>
      </c>
      <c r="C22" s="18" t="str">
        <f>Planilha1!B12</f>
        <v>INTEL CORE I5 7400</v>
      </c>
      <c r="D22" s="18" t="str">
        <f>Planilha1!C12</f>
        <v>16GB DDR4</v>
      </c>
      <c r="E22" t="str">
        <f t="shared" si="0"/>
        <v>I5 7400</v>
      </c>
      <c r="F22" s="17">
        <f>_xlfn.XLOOKUP(E22,RefProc[Modelo],RefProc[Geração Intel])</f>
        <v>7</v>
      </c>
      <c r="G22" s="17">
        <f>_xlfn.XLOOKUP(E22,RefProc[Modelo],RefProc[Ano de lançamento])</f>
        <v>2017</v>
      </c>
      <c r="H22" s="17">
        <f t="shared" si="1"/>
        <v>9</v>
      </c>
      <c r="I22" s="17">
        <f t="shared" si="2"/>
        <v>16</v>
      </c>
      <c r="J22" t="str">
        <f t="shared" si="3"/>
        <v>DDR4</v>
      </c>
      <c r="K22" t="str">
        <f t="shared" si="4"/>
        <v>Não</v>
      </c>
      <c r="L22" t="str">
        <f t="shared" si="5"/>
        <v>Substituir</v>
      </c>
      <c r="M22" t="str">
        <f t="shared" si="6"/>
        <v>Fase 2 – Curto prazo</v>
      </c>
      <c r="N22" s="27">
        <f t="shared" si="7"/>
        <v>4500</v>
      </c>
    </row>
    <row r="23" spans="1:14" x14ac:dyDescent="0.25">
      <c r="A23" s="18" t="str">
        <f>Planilha1!A11</f>
        <v>FABRICIO MEDEIROS</v>
      </c>
      <c r="B23" s="18" t="str">
        <f>IF(Planilha1!E11="DT","Desktop","Notebook")</f>
        <v>Notebook</v>
      </c>
      <c r="C23" s="18" t="str">
        <f>Planilha1!B11</f>
        <v>INTEL CORE I7 1165G7</v>
      </c>
      <c r="D23" s="18" t="str">
        <f>Planilha1!C11</f>
        <v>16GB DDR4</v>
      </c>
      <c r="E23" t="str">
        <f t="shared" si="0"/>
        <v>I7 1165G7</v>
      </c>
      <c r="F23" s="17">
        <f>_xlfn.XLOOKUP(E23,RefProc[Modelo],RefProc[Geração Intel])</f>
        <v>11</v>
      </c>
      <c r="G23" s="17">
        <f>_xlfn.XLOOKUP(E23,RefProc[Modelo],RefProc[Ano de lançamento])</f>
        <v>2020</v>
      </c>
      <c r="H23" s="17">
        <f t="shared" si="1"/>
        <v>6</v>
      </c>
      <c r="I23" s="17">
        <f t="shared" si="2"/>
        <v>16</v>
      </c>
      <c r="J23" t="str">
        <f t="shared" si="3"/>
        <v>DDR4</v>
      </c>
      <c r="K23" t="str">
        <f t="shared" si="4"/>
        <v>Sim</v>
      </c>
      <c r="L23" t="str">
        <f t="shared" si="5"/>
        <v>Manter – monitorar</v>
      </c>
      <c r="M23" t="str">
        <f t="shared" si="6"/>
        <v>Manter</v>
      </c>
      <c r="N23" s="27">
        <f t="shared" si="7"/>
        <v>0</v>
      </c>
    </row>
    <row r="24" spans="1:14" x14ac:dyDescent="0.25">
      <c r="A24" s="18" t="str">
        <f>Planilha1!A14</f>
        <v>ALEXANDRO NASCIMENTO</v>
      </c>
      <c r="B24" s="18" t="str">
        <f>IF(Planilha1!E14="DT","Desktop","Notebook")</f>
        <v>Notebook</v>
      </c>
      <c r="C24" s="18" t="str">
        <f>Planilha1!B14</f>
        <v>INTEL CORE I7 1165G7</v>
      </c>
      <c r="D24" s="18" t="str">
        <f>Planilha1!C14</f>
        <v>16GB DDR4</v>
      </c>
      <c r="E24" t="str">
        <f t="shared" si="0"/>
        <v>I7 1165G7</v>
      </c>
      <c r="F24" s="17">
        <f>_xlfn.XLOOKUP(E24,RefProc[Modelo],RefProc[Geração Intel])</f>
        <v>11</v>
      </c>
      <c r="G24" s="17">
        <f>_xlfn.XLOOKUP(E24,RefProc[Modelo],RefProc[Ano de lançamento])</f>
        <v>2020</v>
      </c>
      <c r="H24" s="17">
        <f t="shared" si="1"/>
        <v>6</v>
      </c>
      <c r="I24" s="17">
        <f t="shared" si="2"/>
        <v>16</v>
      </c>
      <c r="J24" t="str">
        <f t="shared" si="3"/>
        <v>DDR4</v>
      </c>
      <c r="K24" t="str">
        <f t="shared" si="4"/>
        <v>Sim</v>
      </c>
      <c r="L24" t="str">
        <f t="shared" si="5"/>
        <v>Manter – monitorar</v>
      </c>
      <c r="M24" t="str">
        <f t="shared" si="6"/>
        <v>Manter</v>
      </c>
      <c r="N24" s="27">
        <f t="shared" si="7"/>
        <v>0</v>
      </c>
    </row>
    <row r="25" spans="1:14" x14ac:dyDescent="0.25">
      <c r="A25" s="18" t="str">
        <f>Planilha1!A8</f>
        <v>EVELIN CUNHA</v>
      </c>
      <c r="B25" s="18" t="str">
        <f>IF(Planilha1!E8="DT","Desktop","Notebook")</f>
        <v>Desktop</v>
      </c>
      <c r="C25" s="18" t="str">
        <f>Planilha1!B8</f>
        <v>INTEL CORE I5 12400</v>
      </c>
      <c r="D25" s="18" t="str">
        <f>Planilha1!C8</f>
        <v>8 GB DDR4</v>
      </c>
      <c r="E25" t="str">
        <f t="shared" si="0"/>
        <v>I5 12400</v>
      </c>
      <c r="F25" s="17">
        <f>_xlfn.XLOOKUP(E25,RefProc[Modelo],RefProc[Geração Intel])</f>
        <v>12</v>
      </c>
      <c r="G25" s="17">
        <f>_xlfn.XLOOKUP(E25,RefProc[Modelo],RefProc[Ano de lançamento])</f>
        <v>2022</v>
      </c>
      <c r="H25" s="17">
        <f t="shared" si="1"/>
        <v>4</v>
      </c>
      <c r="I25" s="17">
        <f t="shared" si="2"/>
        <v>8</v>
      </c>
      <c r="J25" t="str">
        <f t="shared" si="3"/>
        <v>DDR4</v>
      </c>
      <c r="K25" t="str">
        <f t="shared" si="4"/>
        <v>Sim</v>
      </c>
      <c r="L25" t="str">
        <f t="shared" si="5"/>
        <v>Upgrade de memória</v>
      </c>
      <c r="M25" t="str">
        <f t="shared" si="6"/>
        <v>Fase 3 – Upgrade</v>
      </c>
      <c r="N25" s="27">
        <f t="shared" si="7"/>
        <v>250</v>
      </c>
    </row>
    <row r="26" spans="1:14" x14ac:dyDescent="0.25">
      <c r="A26" s="18" t="str">
        <f>Planilha1!A17</f>
        <v>LUCIA MEDEIROS</v>
      </c>
      <c r="B26" s="18" t="str">
        <f>IF(Planilha1!E17="DT","Desktop","Notebook")</f>
        <v>Desktop</v>
      </c>
      <c r="C26" s="18" t="str">
        <f>Planilha1!B17</f>
        <v>INTEL CORE I5 12500</v>
      </c>
      <c r="D26" s="18" t="str">
        <f>Planilha1!C17</f>
        <v>8GB DDR4</v>
      </c>
      <c r="E26" t="str">
        <f t="shared" si="0"/>
        <v>I5 12500</v>
      </c>
      <c r="F26" s="17">
        <f>_xlfn.XLOOKUP(E26,RefProc[Modelo],RefProc[Geração Intel])</f>
        <v>12</v>
      </c>
      <c r="G26" s="17">
        <f>_xlfn.XLOOKUP(E26,RefProc[Modelo],RefProc[Ano de lançamento])</f>
        <v>2022</v>
      </c>
      <c r="H26" s="17">
        <f t="shared" si="1"/>
        <v>4</v>
      </c>
      <c r="I26" s="17">
        <f t="shared" si="2"/>
        <v>8</v>
      </c>
      <c r="J26" t="str">
        <f t="shared" si="3"/>
        <v>DDR4</v>
      </c>
      <c r="K26" t="str">
        <f t="shared" si="4"/>
        <v>Sim</v>
      </c>
      <c r="L26" t="str">
        <f t="shared" si="5"/>
        <v>Upgrade de memória</v>
      </c>
      <c r="M26" t="str">
        <f t="shared" si="6"/>
        <v>Fase 3 – Upgrade</v>
      </c>
      <c r="N26" s="27">
        <f t="shared" si="7"/>
        <v>250</v>
      </c>
    </row>
    <row r="27" spans="1:14" x14ac:dyDescent="0.25">
      <c r="A27" s="18" t="str">
        <f>Planilha1!A7</f>
        <v>THAMIRES OLIVEIRA</v>
      </c>
      <c r="B27" s="18" t="str">
        <f>IF(Planilha1!E7="DT","Desktop","Notebook")</f>
        <v>Notebook</v>
      </c>
      <c r="C27" s="18" t="str">
        <f>Planilha1!B7</f>
        <v>INTEL CORE I5 1334U</v>
      </c>
      <c r="D27" s="18" t="str">
        <f>Planilha1!C7</f>
        <v>16 GB DDR4</v>
      </c>
      <c r="E27" t="str">
        <f t="shared" si="0"/>
        <v>I5 1334U</v>
      </c>
      <c r="F27" s="17">
        <f>_xlfn.XLOOKUP(E27,RefProc[Modelo],RefProc[Geração Intel])</f>
        <v>13</v>
      </c>
      <c r="G27" s="17">
        <f>_xlfn.XLOOKUP(E27,RefProc[Modelo],RefProc[Ano de lançamento])</f>
        <v>2023</v>
      </c>
      <c r="H27" s="17">
        <f t="shared" si="1"/>
        <v>3</v>
      </c>
      <c r="I27" s="17">
        <f t="shared" si="2"/>
        <v>16</v>
      </c>
      <c r="J27" t="str">
        <f t="shared" si="3"/>
        <v>DDR4</v>
      </c>
      <c r="K27" t="str">
        <f t="shared" si="4"/>
        <v>Sim</v>
      </c>
      <c r="L27" t="str">
        <f t="shared" si="5"/>
        <v>Manter</v>
      </c>
      <c r="M27" t="str">
        <f t="shared" si="6"/>
        <v>Manter</v>
      </c>
      <c r="N27" s="27">
        <f t="shared" si="7"/>
        <v>0</v>
      </c>
    </row>
    <row r="28" spans="1:14" x14ac:dyDescent="0.25">
      <c r="A28" s="18" t="str">
        <f>Planilha1!A13</f>
        <v>FELIPE FACHETTI</v>
      </c>
      <c r="B28" s="18" t="str">
        <f>IF(Planilha1!E13="DT","Desktop","Notebook")</f>
        <v>Notebook</v>
      </c>
      <c r="C28" s="18" t="str">
        <f>Planilha1!B13</f>
        <v>INTEL CORE I5 1334U</v>
      </c>
      <c r="D28" s="18" t="str">
        <f>Planilha1!C13</f>
        <v>16GB DDR4</v>
      </c>
      <c r="E28" t="str">
        <f t="shared" si="0"/>
        <v>I5 1334U</v>
      </c>
      <c r="F28" s="17">
        <f>_xlfn.XLOOKUP(E28,RefProc[Modelo],RefProc[Geração Intel])</f>
        <v>13</v>
      </c>
      <c r="G28" s="17">
        <f>_xlfn.XLOOKUP(E28,RefProc[Modelo],RefProc[Ano de lançamento])</f>
        <v>2023</v>
      </c>
      <c r="H28" s="17">
        <f t="shared" si="1"/>
        <v>3</v>
      </c>
      <c r="I28" s="17">
        <f t="shared" si="2"/>
        <v>16</v>
      </c>
      <c r="J28" t="str">
        <f t="shared" si="3"/>
        <v>DDR4</v>
      </c>
      <c r="K28" t="str">
        <f t="shared" si="4"/>
        <v>Sim</v>
      </c>
      <c r="L28" t="str">
        <f t="shared" si="5"/>
        <v>Manter</v>
      </c>
      <c r="M28" t="str">
        <f t="shared" si="6"/>
        <v>Manter</v>
      </c>
      <c r="N28" s="27">
        <f t="shared" si="7"/>
        <v>0</v>
      </c>
    </row>
    <row r="29" spans="1:14" x14ac:dyDescent="0.25">
      <c r="A29" s="18" t="str">
        <f>Planilha1!A18</f>
        <v xml:space="preserve">LUDMILLA OLIVEIRA </v>
      </c>
      <c r="B29" s="18" t="str">
        <f>IF(Planilha1!E18="DT","Desktop","Notebook")</f>
        <v>Notebook</v>
      </c>
      <c r="C29" s="18" t="str">
        <f>Planilha1!B18</f>
        <v>INTEL CORE I7 1355U</v>
      </c>
      <c r="D29" s="18" t="str">
        <f>Planilha1!C18</f>
        <v>16GB DDR4</v>
      </c>
      <c r="E29" t="str">
        <f t="shared" si="0"/>
        <v>I7 1355U</v>
      </c>
      <c r="F29" s="17">
        <f>_xlfn.XLOOKUP(E29,RefProc[Modelo],RefProc[Geração Intel])</f>
        <v>13</v>
      </c>
      <c r="G29" s="17">
        <f>_xlfn.XLOOKUP(E29,RefProc[Modelo],RefProc[Ano de lançamento])</f>
        <v>2023</v>
      </c>
      <c r="H29" s="17">
        <f t="shared" si="1"/>
        <v>3</v>
      </c>
      <c r="I29" s="17">
        <f t="shared" si="2"/>
        <v>16</v>
      </c>
      <c r="J29" t="str">
        <f t="shared" si="3"/>
        <v>DDR4</v>
      </c>
      <c r="K29" t="str">
        <f t="shared" si="4"/>
        <v>Sim</v>
      </c>
      <c r="L29" t="str">
        <f t="shared" si="5"/>
        <v>Manter</v>
      </c>
      <c r="M29" t="str">
        <f t="shared" si="6"/>
        <v>Manter</v>
      </c>
      <c r="N29" s="27">
        <f t="shared" si="7"/>
        <v>0</v>
      </c>
    </row>
    <row r="30" spans="1:14" x14ac:dyDescent="0.25">
      <c r="A30" s="18" t="str">
        <f>Planilha1!A19</f>
        <v>GLAUCIA LORIANO</v>
      </c>
      <c r="B30" s="18" t="str">
        <f>IF(Planilha1!E19="DT","Desktop","Notebook")</f>
        <v>Notebook</v>
      </c>
      <c r="C30" s="18" t="str">
        <f>Planilha1!B19</f>
        <v>INTEL CORE I7 1355U</v>
      </c>
      <c r="D30" s="18" t="str">
        <f>Planilha1!C19</f>
        <v>16GB DDR4</v>
      </c>
      <c r="E30" t="str">
        <f t="shared" si="0"/>
        <v>I7 1355U</v>
      </c>
      <c r="F30" s="17">
        <f>_xlfn.XLOOKUP(E30,RefProc[Modelo],RefProc[Geração Intel])</f>
        <v>13</v>
      </c>
      <c r="G30" s="17">
        <f>_xlfn.XLOOKUP(E30,RefProc[Modelo],RefProc[Ano de lançamento])</f>
        <v>2023</v>
      </c>
      <c r="H30" s="17">
        <f t="shared" si="1"/>
        <v>3</v>
      </c>
      <c r="I30" s="17">
        <f t="shared" si="2"/>
        <v>16</v>
      </c>
      <c r="J30" t="str">
        <f t="shared" si="3"/>
        <v>DDR4</v>
      </c>
      <c r="K30" t="str">
        <f t="shared" si="4"/>
        <v>Sim</v>
      </c>
      <c r="L30" t="str">
        <f t="shared" si="5"/>
        <v>Manter</v>
      </c>
      <c r="M30" t="str">
        <f t="shared" si="6"/>
        <v>Manter</v>
      </c>
      <c r="N30" s="27">
        <f t="shared" si="7"/>
        <v>0</v>
      </c>
    </row>
    <row r="31" spans="1:14" x14ac:dyDescent="0.25">
      <c r="A31" s="18" t="str">
        <f>Planilha1!A20</f>
        <v>BENVIDA LUCIA</v>
      </c>
      <c r="B31" s="18" t="str">
        <f>IF(Planilha1!E20="DT","Desktop","Notebook")</f>
        <v>Notebook</v>
      </c>
      <c r="C31" s="18" t="str">
        <f>Planilha1!B20</f>
        <v>INTEL CORE I5 13420H</v>
      </c>
      <c r="D31" s="18" t="str">
        <f>Planilha1!C20</f>
        <v>16GB DDR5</v>
      </c>
      <c r="E31" t="str">
        <f t="shared" si="0"/>
        <v>I5 13420H</v>
      </c>
      <c r="F31" s="17">
        <f>_xlfn.XLOOKUP(E31,RefProc[Modelo],RefProc[Geração Intel])</f>
        <v>13</v>
      </c>
      <c r="G31" s="17">
        <f>_xlfn.XLOOKUP(E31,RefProc[Modelo],RefProc[Ano de lançamento])</f>
        <v>2023</v>
      </c>
      <c r="H31" s="17">
        <f t="shared" si="1"/>
        <v>3</v>
      </c>
      <c r="I31" s="17">
        <f t="shared" si="2"/>
        <v>16</v>
      </c>
      <c r="J31" t="str">
        <f t="shared" si="3"/>
        <v>DDR5</v>
      </c>
      <c r="K31" t="str">
        <f t="shared" si="4"/>
        <v>Sim</v>
      </c>
      <c r="L31" t="str">
        <f t="shared" si="5"/>
        <v>Manter</v>
      </c>
      <c r="M31" t="str">
        <f t="shared" si="6"/>
        <v>Manter</v>
      </c>
      <c r="N31" s="27">
        <f t="shared" si="7"/>
        <v>0</v>
      </c>
    </row>
    <row r="32" spans="1:14" x14ac:dyDescent="0.25">
      <c r="A32" s="18" t="str">
        <f>Planilha1!A21</f>
        <v>LARISSA MURCIA</v>
      </c>
      <c r="B32" s="18" t="str">
        <f>IF(Planilha1!E21="DT","Desktop","Notebook")</f>
        <v>Notebook</v>
      </c>
      <c r="C32" s="18" t="str">
        <f>Planilha1!B21</f>
        <v>INTEL CORE I7 1355U</v>
      </c>
      <c r="D32" s="18" t="str">
        <f>Planilha1!C21</f>
        <v>16GB DDR4</v>
      </c>
      <c r="E32" t="str">
        <f t="shared" si="0"/>
        <v>I7 1355U</v>
      </c>
      <c r="F32" s="17">
        <f>_xlfn.XLOOKUP(E32,RefProc[Modelo],RefProc[Geração Intel])</f>
        <v>13</v>
      </c>
      <c r="G32" s="17">
        <f>_xlfn.XLOOKUP(E32,RefProc[Modelo],RefProc[Ano de lançamento])</f>
        <v>2023</v>
      </c>
      <c r="H32" s="17">
        <f t="shared" si="1"/>
        <v>3</v>
      </c>
      <c r="I32" s="17">
        <f t="shared" si="2"/>
        <v>16</v>
      </c>
      <c r="J32" t="str">
        <f t="shared" si="3"/>
        <v>DDR4</v>
      </c>
      <c r="K32" t="str">
        <f t="shared" si="4"/>
        <v>Sim</v>
      </c>
      <c r="L32" t="str">
        <f t="shared" si="5"/>
        <v>Manter</v>
      </c>
      <c r="M32" t="str">
        <f t="shared" si="6"/>
        <v>Manter</v>
      </c>
      <c r="N32" s="27">
        <f t="shared" si="7"/>
        <v>0</v>
      </c>
    </row>
    <row r="33" spans="1:14" x14ac:dyDescent="0.25">
      <c r="A33" s="18" t="str">
        <f>Planilha1!A22</f>
        <v>ELIDIANE RODRIGUES</v>
      </c>
      <c r="B33" s="18" t="str">
        <f>IF(Planilha1!E22="DT","Desktop","Notebook")</f>
        <v>Notebook</v>
      </c>
      <c r="C33" s="18" t="str">
        <f>Planilha1!B22</f>
        <v>INTEL CORE I5 1334U</v>
      </c>
      <c r="D33" s="18" t="str">
        <f>Planilha1!C22</f>
        <v>16GB DDR4</v>
      </c>
      <c r="E33" t="str">
        <f t="shared" si="0"/>
        <v>I5 1334U</v>
      </c>
      <c r="F33" s="17">
        <f>_xlfn.XLOOKUP(E33,RefProc[Modelo],RefProc[Geração Intel])</f>
        <v>13</v>
      </c>
      <c r="G33" s="17">
        <f>_xlfn.XLOOKUP(E33,RefProc[Modelo],RefProc[Ano de lançamento])</f>
        <v>2023</v>
      </c>
      <c r="H33" s="17">
        <f t="shared" si="1"/>
        <v>3</v>
      </c>
      <c r="I33" s="17">
        <f t="shared" si="2"/>
        <v>16</v>
      </c>
      <c r="J33" t="str">
        <f t="shared" si="3"/>
        <v>DDR4</v>
      </c>
      <c r="K33" t="str">
        <f t="shared" si="4"/>
        <v>Sim</v>
      </c>
      <c r="L33" t="str">
        <f t="shared" si="5"/>
        <v>Manter</v>
      </c>
      <c r="M33" t="str">
        <f t="shared" si="6"/>
        <v>Manter</v>
      </c>
      <c r="N33" s="27">
        <f t="shared" si="7"/>
        <v>0</v>
      </c>
    </row>
    <row r="34" spans="1:14" x14ac:dyDescent="0.25">
      <c r="A34" s="18" t="str">
        <f>Planilha1!A23</f>
        <v>DANIELLE MOITAS</v>
      </c>
      <c r="B34" s="18" t="str">
        <f>IF(Planilha1!E23="DT","Desktop","Notebook")</f>
        <v>Notebook</v>
      </c>
      <c r="C34" s="18" t="str">
        <f>Planilha1!B23</f>
        <v>INTEL CORE I5 1334U</v>
      </c>
      <c r="D34" s="18" t="str">
        <f>Planilha1!C23</f>
        <v>16GB DDR4</v>
      </c>
      <c r="E34" t="str">
        <f t="shared" si="0"/>
        <v>I5 1334U</v>
      </c>
      <c r="F34" s="17">
        <f>_xlfn.XLOOKUP(E34,RefProc[Modelo],RefProc[Geração Intel])</f>
        <v>13</v>
      </c>
      <c r="G34" s="17">
        <f>_xlfn.XLOOKUP(E34,RefProc[Modelo],RefProc[Ano de lançamento])</f>
        <v>2023</v>
      </c>
      <c r="H34" s="17">
        <f t="shared" si="1"/>
        <v>3</v>
      </c>
      <c r="I34" s="17">
        <f t="shared" si="2"/>
        <v>16</v>
      </c>
      <c r="J34" t="str">
        <f t="shared" si="3"/>
        <v>DDR4</v>
      </c>
      <c r="K34" t="str">
        <f t="shared" si="4"/>
        <v>Sim</v>
      </c>
      <c r="L34" t="str">
        <f t="shared" si="5"/>
        <v>Manter</v>
      </c>
      <c r="M34" t="str">
        <f t="shared" si="6"/>
        <v>Manter</v>
      </c>
      <c r="N34" s="27">
        <f t="shared" si="7"/>
        <v>0</v>
      </c>
    </row>
    <row r="35" spans="1:14" x14ac:dyDescent="0.25">
      <c r="A35" s="18" t="str">
        <f>Planilha1!A24</f>
        <v xml:space="preserve">MARCELO REBELO </v>
      </c>
      <c r="B35" s="18" t="str">
        <f>IF(Planilha1!E24="DT","Desktop","Notebook")</f>
        <v>Notebook</v>
      </c>
      <c r="C35" s="18" t="str">
        <f>Planilha1!B24</f>
        <v>INTEL CORE I5 1334U</v>
      </c>
      <c r="D35" s="18" t="str">
        <f>Planilha1!C24</f>
        <v>16GB DDR4</v>
      </c>
      <c r="E35" t="str">
        <f t="shared" si="0"/>
        <v>I5 1334U</v>
      </c>
      <c r="F35" s="17">
        <f>_xlfn.XLOOKUP(E35,RefProc[Modelo],RefProc[Geração Intel])</f>
        <v>13</v>
      </c>
      <c r="G35" s="17">
        <f>_xlfn.XLOOKUP(E35,RefProc[Modelo],RefProc[Ano de lançamento])</f>
        <v>2023</v>
      </c>
      <c r="H35" s="17">
        <f t="shared" si="1"/>
        <v>3</v>
      </c>
      <c r="I35" s="17">
        <f t="shared" si="2"/>
        <v>16</v>
      </c>
      <c r="J35" t="str">
        <f t="shared" si="3"/>
        <v>DDR4</v>
      </c>
      <c r="K35" t="str">
        <f t="shared" si="4"/>
        <v>Sim</v>
      </c>
      <c r="L35" t="str">
        <f t="shared" si="5"/>
        <v>Manter</v>
      </c>
      <c r="M35" t="str">
        <f t="shared" si="6"/>
        <v>Manter</v>
      </c>
      <c r="N35" s="27">
        <f t="shared" si="7"/>
        <v>0</v>
      </c>
    </row>
    <row r="38" spans="1:14" ht="15.75" x14ac:dyDescent="0.25">
      <c r="A38" s="21" t="s">
        <v>116</v>
      </c>
    </row>
    <row r="39" spans="1:14" x14ac:dyDescent="0.25">
      <c r="A39" s="11" t="s">
        <v>117</v>
      </c>
      <c r="B39" t="s">
        <v>118</v>
      </c>
    </row>
    <row r="40" spans="1:14" x14ac:dyDescent="0.25">
      <c r="A40" s="11" t="s">
        <v>119</v>
      </c>
      <c r="B40" t="s">
        <v>120</v>
      </c>
    </row>
    <row r="41" spans="1:14" x14ac:dyDescent="0.25">
      <c r="A41" s="11" t="s">
        <v>121</v>
      </c>
      <c r="B41" t="s">
        <v>122</v>
      </c>
    </row>
    <row r="42" spans="1:14" x14ac:dyDescent="0.25">
      <c r="A42" s="11" t="s">
        <v>123</v>
      </c>
      <c r="B42" t="s">
        <v>124</v>
      </c>
    </row>
    <row r="43" spans="1:14" x14ac:dyDescent="0.25">
      <c r="A43" s="11" t="s">
        <v>125</v>
      </c>
      <c r="B43" t="s">
        <v>126</v>
      </c>
    </row>
    <row r="44" spans="1:14" x14ac:dyDescent="0.25">
      <c r="A44" s="11" t="s">
        <v>127</v>
      </c>
      <c r="B44" t="s">
        <v>128</v>
      </c>
    </row>
  </sheetData>
  <conditionalFormatting sqref="D5:D8">
    <cfRule type="containsText" dxfId="12" priority="4" operator="containsText" text="Fase 1">
      <formula>NOT(ISERROR(SEARCH("Fase 1",D5)))</formula>
    </cfRule>
    <cfRule type="containsText" dxfId="11" priority="5" operator="containsText" text="Fase 2">
      <formula>NOT(ISERROR(SEARCH("Fase 2",D5)))</formula>
    </cfRule>
    <cfRule type="containsText" dxfId="10" priority="6" operator="containsText" text="Fase 3">
      <formula>NOT(ISERROR(SEARCH("Fase 3",D5)))</formula>
    </cfRule>
  </conditionalFormatting>
  <conditionalFormatting sqref="K15:K35">
    <cfRule type="containsText" dxfId="9" priority="7" operator="containsText" text="Não">
      <formula>NOT(ISERROR(SEARCH("Não",K15)))</formula>
    </cfRule>
  </conditionalFormatting>
  <conditionalFormatting sqref="M15:M35">
    <cfRule type="containsText" dxfId="8" priority="1" operator="containsText" text="Fase 1">
      <formula>NOT(ISERROR(SEARCH("Fase 1",M15)))</formula>
    </cfRule>
    <cfRule type="containsText" dxfId="7" priority="2" operator="containsText" text="Fase 2">
      <formula>NOT(ISERROR(SEARCH("Fase 2",M15)))</formula>
    </cfRule>
    <cfRule type="containsText" dxfId="6" priority="3" operator="containsText" text="Fase 3">
      <formula>NOT(ISERROR(SEARCH("Fase 3",M15)))</formula>
    </cfRule>
  </conditionalFormatting>
  <pageMargins left="0.511811024" right="0.511811024" top="0.78740157499999996" bottom="0.78740157499999996" header="0.31496062000000002" footer="0.31496062000000002"/>
  <pageSetup paperSize="9" scale="5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705E-BE7C-44C9-AC68-7888D9E73632}">
  <dimension ref="A1:K27"/>
  <sheetViews>
    <sheetView workbookViewId="0">
      <selection activeCell="A6" sqref="A6"/>
    </sheetView>
  </sheetViews>
  <sheetFormatPr defaultRowHeight="15" x14ac:dyDescent="0.25"/>
  <cols>
    <col min="1" max="1" width="41" customWidth="1"/>
    <col min="2" max="2" width="13.28515625" customWidth="1"/>
    <col min="3" max="3" width="26.7109375" customWidth="1"/>
    <col min="4" max="4" width="28.5703125" customWidth="1"/>
    <col min="5" max="5" width="12.42578125" customWidth="1"/>
    <col min="6" max="6" width="22.85546875" customWidth="1"/>
    <col min="7" max="7" width="28.5703125" customWidth="1"/>
    <col min="8" max="8" width="62.85546875" customWidth="1"/>
    <col min="9" max="9" width="49.5703125" customWidth="1"/>
    <col min="10" max="10" width="80" customWidth="1"/>
    <col min="11" max="11" width="22.85546875" customWidth="1"/>
  </cols>
  <sheetData>
    <row r="1" spans="1:11" ht="18.75" x14ac:dyDescent="0.3">
      <c r="A1" s="15" t="s">
        <v>129</v>
      </c>
    </row>
    <row r="2" spans="1:11" x14ac:dyDescent="0.25">
      <c r="A2" s="16" t="s">
        <v>130</v>
      </c>
    </row>
    <row r="4" spans="1:11" x14ac:dyDescent="0.25">
      <c r="A4" s="20" t="s">
        <v>78</v>
      </c>
      <c r="B4" s="20" t="s">
        <v>79</v>
      </c>
      <c r="D4" s="20" t="s">
        <v>155</v>
      </c>
      <c r="E4" s="20" t="s">
        <v>99</v>
      </c>
      <c r="F4" s="20" t="s">
        <v>137</v>
      </c>
    </row>
    <row r="5" spans="1:11" x14ac:dyDescent="0.25">
      <c r="A5" t="s">
        <v>131</v>
      </c>
      <c r="B5" s="26">
        <v>200</v>
      </c>
      <c r="D5" t="s">
        <v>138</v>
      </c>
      <c r="E5">
        <f>COUNTIFS(Reaproveitamento[Recomendação],D5)</f>
        <v>1</v>
      </c>
      <c r="F5" s="27">
        <f>SUMIFS(Reaproveitamento[Custo preparação (R$)],Reaproveitamento[Recomendação],D5)</f>
        <v>200</v>
      </c>
    </row>
    <row r="6" spans="1:11" x14ac:dyDescent="0.25">
      <c r="D6" t="s">
        <v>142</v>
      </c>
      <c r="E6">
        <f>COUNTIFS(Reaproveitamento[Recomendação],D6)</f>
        <v>2</v>
      </c>
      <c r="F6" s="27">
        <f>SUMIFS(Reaproveitamento[Custo preparação (R$)],Reaproveitamento[Recomendação],D6)</f>
        <v>400</v>
      </c>
    </row>
    <row r="7" spans="1:11" x14ac:dyDescent="0.25">
      <c r="D7" t="s">
        <v>148</v>
      </c>
      <c r="E7">
        <f>COUNTIFS(Reaproveitamento[Recomendação],D7)</f>
        <v>1</v>
      </c>
      <c r="F7" s="27">
        <f>SUMIFS(Reaproveitamento[Custo preparação (R$)],Reaproveitamento[Recomendação],D7)</f>
        <v>0</v>
      </c>
    </row>
    <row r="8" spans="1:11" x14ac:dyDescent="0.25">
      <c r="D8" t="s">
        <v>152</v>
      </c>
      <c r="E8">
        <f>COUNTIFS(Reaproveitamento[Recomendação],D8)</f>
        <v>4</v>
      </c>
      <c r="F8" s="27">
        <f>SUMIFS(Reaproveitamento[Custo preparação (R$)],Reaproveitamento[Recomendação],D8)</f>
        <v>0</v>
      </c>
    </row>
    <row r="9" spans="1:11" x14ac:dyDescent="0.25">
      <c r="D9" s="22" t="s">
        <v>113</v>
      </c>
      <c r="E9" s="22">
        <f>SUM(E5:E8)</f>
        <v>8</v>
      </c>
      <c r="F9" s="30">
        <f>SUM(F5:F8)</f>
        <v>600</v>
      </c>
    </row>
    <row r="11" spans="1:11" x14ac:dyDescent="0.25">
      <c r="A11" s="25" t="s">
        <v>132</v>
      </c>
      <c r="B11" s="25" t="s">
        <v>87</v>
      </c>
      <c r="C11" s="25" t="s">
        <v>2</v>
      </c>
      <c r="D11" s="25" t="s">
        <v>88</v>
      </c>
      <c r="E11" s="25" t="s">
        <v>90</v>
      </c>
      <c r="F11" s="25" t="s">
        <v>91</v>
      </c>
      <c r="G11" s="25" t="s">
        <v>133</v>
      </c>
      <c r="H11" s="25" t="s">
        <v>134</v>
      </c>
      <c r="I11" s="25" t="s">
        <v>135</v>
      </c>
      <c r="J11" s="25" t="s">
        <v>136</v>
      </c>
      <c r="K11" s="25" t="s">
        <v>137</v>
      </c>
    </row>
    <row r="12" spans="1:11" ht="30" x14ac:dyDescent="0.25">
      <c r="A12" s="31" t="s">
        <v>22</v>
      </c>
      <c r="B12" s="32" t="str">
        <f>_xlfn.XLOOKUP($A12,PlanoMaquinas[Usuário],PlanoMaquinas[Tipo])</f>
        <v>Desktop</v>
      </c>
      <c r="C12" s="32" t="str">
        <f>_xlfn.XLOOKUP($A12,PlanoMaquinas[Usuário],PlanoMaquinas[Processador])</f>
        <v>INTEL CORE I5 7400</v>
      </c>
      <c r="D12" s="32" t="str">
        <f>_xlfn.XLOOKUP($A12,PlanoMaquinas[Usuário],PlanoMaquinas[Memória])</f>
        <v>16GB DDR4</v>
      </c>
      <c r="E12" s="32">
        <f>_xlfn.XLOOKUP($A12,PlanoMaquinas[Usuário],PlanoMaquinas[Ano lanç.])</f>
        <v>2017</v>
      </c>
      <c r="F12" s="32">
        <f>_xlfn.XLOOKUP($A12,PlanoMaquinas[Usuário],PlanoMaquinas[Idade (anos)])</f>
        <v>9</v>
      </c>
      <c r="G12" s="31" t="s">
        <v>138</v>
      </c>
      <c r="H12" s="33" t="s">
        <v>139</v>
      </c>
      <c r="I12" s="33" t="s">
        <v>140</v>
      </c>
      <c r="J12" s="33" t="s">
        <v>141</v>
      </c>
      <c r="K12" s="34">
        <f t="shared" ref="K12:K19" si="0">IF(LEFT(G12,12)="Reaproveitar",$B$5,0)</f>
        <v>200</v>
      </c>
    </row>
    <row r="13" spans="1:11" ht="30" x14ac:dyDescent="0.25">
      <c r="A13" s="31" t="s">
        <v>17</v>
      </c>
      <c r="B13" s="32" t="str">
        <f>_xlfn.XLOOKUP($A13,PlanoMaquinas[Usuário],PlanoMaquinas[Tipo])</f>
        <v>Desktop</v>
      </c>
      <c r="C13" s="32" t="str">
        <f>_xlfn.XLOOKUP($A13,PlanoMaquinas[Usuário],PlanoMaquinas[Processador])</f>
        <v>INTEL CORE I7 3770</v>
      </c>
      <c r="D13" s="32" t="str">
        <f>_xlfn.XLOOKUP($A13,PlanoMaquinas[Usuário],PlanoMaquinas[Memória])</f>
        <v>8 GB DDR3</v>
      </c>
      <c r="E13" s="32">
        <f>_xlfn.XLOOKUP($A13,PlanoMaquinas[Usuário],PlanoMaquinas[Ano lanç.])</f>
        <v>2012</v>
      </c>
      <c r="F13" s="32">
        <f>_xlfn.XLOOKUP($A13,PlanoMaquinas[Usuário],PlanoMaquinas[Idade (anos)])</f>
        <v>14</v>
      </c>
      <c r="G13" s="31" t="s">
        <v>142</v>
      </c>
      <c r="H13" s="33" t="s">
        <v>143</v>
      </c>
      <c r="I13" s="33" t="s">
        <v>144</v>
      </c>
      <c r="J13" s="33" t="s">
        <v>145</v>
      </c>
      <c r="K13" s="34">
        <f t="shared" si="0"/>
        <v>200</v>
      </c>
    </row>
    <row r="14" spans="1:11" x14ac:dyDescent="0.25">
      <c r="A14" s="31" t="s">
        <v>7</v>
      </c>
      <c r="B14" s="32" t="str">
        <f>_xlfn.XLOOKUP($A14,PlanoMaquinas[Usuário],PlanoMaquinas[Tipo])</f>
        <v>Desktop</v>
      </c>
      <c r="C14" s="32" t="str">
        <f>_xlfn.XLOOKUP($A14,PlanoMaquinas[Usuário],PlanoMaquinas[Processador])</f>
        <v>INTEL CORE I5 3470</v>
      </c>
      <c r="D14" s="32" t="str">
        <f>_xlfn.XLOOKUP($A14,PlanoMaquinas[Usuário],PlanoMaquinas[Memória])</f>
        <v>8 GB DDR3</v>
      </c>
      <c r="E14" s="32">
        <f>_xlfn.XLOOKUP($A14,PlanoMaquinas[Usuário],PlanoMaquinas[Ano lanç.])</f>
        <v>2012</v>
      </c>
      <c r="F14" s="32">
        <f>_xlfn.XLOOKUP($A14,PlanoMaquinas[Usuário],PlanoMaquinas[Idade (anos)])</f>
        <v>14</v>
      </c>
      <c r="G14" s="31" t="s">
        <v>142</v>
      </c>
      <c r="H14" s="33" t="s">
        <v>146</v>
      </c>
      <c r="I14" s="33" t="s">
        <v>144</v>
      </c>
      <c r="J14" s="33" t="s">
        <v>147</v>
      </c>
      <c r="K14" s="34">
        <f t="shared" si="0"/>
        <v>200</v>
      </c>
    </row>
    <row r="15" spans="1:11" ht="30" x14ac:dyDescent="0.25">
      <c r="A15" s="31" t="s">
        <v>9</v>
      </c>
      <c r="B15" s="32" t="str">
        <f>_xlfn.XLOOKUP($A15,PlanoMaquinas[Usuário],PlanoMaquinas[Tipo])</f>
        <v>Desktop</v>
      </c>
      <c r="C15" s="32" t="str">
        <f>_xlfn.XLOOKUP($A15,PlanoMaquinas[Usuário],PlanoMaquinas[Processador])</f>
        <v>INTEL CORE I5 3470</v>
      </c>
      <c r="D15" s="32" t="str">
        <f>_xlfn.XLOOKUP($A15,PlanoMaquinas[Usuário],PlanoMaquinas[Memória])</f>
        <v>8 GB DDR3</v>
      </c>
      <c r="E15" s="32">
        <f>_xlfn.XLOOKUP($A15,PlanoMaquinas[Usuário],PlanoMaquinas[Ano lanç.])</f>
        <v>2012</v>
      </c>
      <c r="F15" s="32">
        <f>_xlfn.XLOOKUP($A15,PlanoMaquinas[Usuário],PlanoMaquinas[Idade (anos)])</f>
        <v>14</v>
      </c>
      <c r="G15" s="31" t="s">
        <v>148</v>
      </c>
      <c r="H15" s="33" t="s">
        <v>149</v>
      </c>
      <c r="I15" s="33" t="s">
        <v>150</v>
      </c>
      <c r="J15" s="33" t="s">
        <v>151</v>
      </c>
      <c r="K15" s="34">
        <f t="shared" si="0"/>
        <v>0</v>
      </c>
    </row>
    <row r="16" spans="1:11" x14ac:dyDescent="0.25">
      <c r="A16" s="31" t="s">
        <v>4</v>
      </c>
      <c r="B16" s="32" t="str">
        <f>_xlfn.XLOOKUP($A16,PlanoMaquinas[Usuário],PlanoMaquinas[Tipo])</f>
        <v>Desktop</v>
      </c>
      <c r="C16" s="32" t="str">
        <f>_xlfn.XLOOKUP($A16,PlanoMaquinas[Usuário],PlanoMaquinas[Processador])</f>
        <v>INTEL I5 650</v>
      </c>
      <c r="D16" s="32" t="str">
        <f>_xlfn.XLOOKUP($A16,PlanoMaquinas[Usuário],PlanoMaquinas[Memória])</f>
        <v>8 GB DDR3</v>
      </c>
      <c r="E16" s="32">
        <f>_xlfn.XLOOKUP($A16,PlanoMaquinas[Usuário],PlanoMaquinas[Ano lanç.])</f>
        <v>2010</v>
      </c>
      <c r="F16" s="32">
        <f>_xlfn.XLOOKUP($A16,PlanoMaquinas[Usuário],PlanoMaquinas[Idade (anos)])</f>
        <v>16</v>
      </c>
      <c r="G16" s="31" t="s">
        <v>152</v>
      </c>
      <c r="H16" s="33" t="s">
        <v>150</v>
      </c>
      <c r="I16" s="33" t="s">
        <v>150</v>
      </c>
      <c r="J16" s="33" t="s">
        <v>153</v>
      </c>
      <c r="K16" s="34">
        <f t="shared" si="0"/>
        <v>0</v>
      </c>
    </row>
    <row r="17" spans="1:11" x14ac:dyDescent="0.25">
      <c r="A17" s="31" t="s">
        <v>16</v>
      </c>
      <c r="B17" s="32" t="str">
        <f>_xlfn.XLOOKUP($A17,PlanoMaquinas[Usuário],PlanoMaquinas[Tipo])</f>
        <v>Desktop</v>
      </c>
      <c r="C17" s="32" t="str">
        <f>_xlfn.XLOOKUP($A17,PlanoMaquinas[Usuário],PlanoMaquinas[Processador])</f>
        <v>INTEL I5 650</v>
      </c>
      <c r="D17" s="32" t="str">
        <f>_xlfn.XLOOKUP($A17,PlanoMaquinas[Usuário],PlanoMaquinas[Memória])</f>
        <v>8 GB DDR3</v>
      </c>
      <c r="E17" s="32">
        <f>_xlfn.XLOOKUP($A17,PlanoMaquinas[Usuário],PlanoMaquinas[Ano lanç.])</f>
        <v>2010</v>
      </c>
      <c r="F17" s="32">
        <f>_xlfn.XLOOKUP($A17,PlanoMaquinas[Usuário],PlanoMaquinas[Idade (anos)])</f>
        <v>16</v>
      </c>
      <c r="G17" s="31" t="s">
        <v>152</v>
      </c>
      <c r="H17" s="33" t="s">
        <v>150</v>
      </c>
      <c r="I17" s="33" t="s">
        <v>150</v>
      </c>
      <c r="J17" s="33" t="s">
        <v>153</v>
      </c>
      <c r="K17" s="34">
        <f t="shared" si="0"/>
        <v>0</v>
      </c>
    </row>
    <row r="18" spans="1:11" x14ac:dyDescent="0.25">
      <c r="A18" s="31" t="s">
        <v>29</v>
      </c>
      <c r="B18" s="32" t="str">
        <f>_xlfn.XLOOKUP($A18,PlanoMaquinas[Usuário],PlanoMaquinas[Tipo])</f>
        <v>Desktop</v>
      </c>
      <c r="C18" s="32" t="str">
        <f>_xlfn.XLOOKUP($A18,PlanoMaquinas[Usuário],PlanoMaquinas[Processador])</f>
        <v>INTEL CORE I5 650</v>
      </c>
      <c r="D18" s="32" t="str">
        <f>_xlfn.XLOOKUP($A18,PlanoMaquinas[Usuário],PlanoMaquinas[Memória])</f>
        <v>8GB DDR3</v>
      </c>
      <c r="E18" s="32">
        <f>_xlfn.XLOOKUP($A18,PlanoMaquinas[Usuário],PlanoMaquinas[Ano lanç.])</f>
        <v>2010</v>
      </c>
      <c r="F18" s="32">
        <f>_xlfn.XLOOKUP($A18,PlanoMaquinas[Usuário],PlanoMaquinas[Idade (anos)])</f>
        <v>16</v>
      </c>
      <c r="G18" s="31" t="s">
        <v>152</v>
      </c>
      <c r="H18" s="33" t="s">
        <v>150</v>
      </c>
      <c r="I18" s="33" t="s">
        <v>150</v>
      </c>
      <c r="J18" s="33" t="s">
        <v>153</v>
      </c>
      <c r="K18" s="34">
        <f t="shared" si="0"/>
        <v>0</v>
      </c>
    </row>
    <row r="19" spans="1:11" x14ac:dyDescent="0.25">
      <c r="A19" s="31" t="s">
        <v>26</v>
      </c>
      <c r="B19" s="32" t="str">
        <f>_xlfn.XLOOKUP($A19,PlanoMaquinas[Usuário],PlanoMaquinas[Tipo])</f>
        <v>Desktop</v>
      </c>
      <c r="C19" s="32" t="str">
        <f>_xlfn.XLOOKUP($A19,PlanoMaquinas[Usuário],PlanoMaquinas[Processador])</f>
        <v>INTEL CORE I3 2120</v>
      </c>
      <c r="D19" s="32" t="str">
        <f>_xlfn.XLOOKUP($A19,PlanoMaquinas[Usuário],PlanoMaquinas[Memória])</f>
        <v>4GB DDR3</v>
      </c>
      <c r="E19" s="32">
        <f>_xlfn.XLOOKUP($A19,PlanoMaquinas[Usuário],PlanoMaquinas[Ano lanç.])</f>
        <v>2011</v>
      </c>
      <c r="F19" s="32">
        <f>_xlfn.XLOOKUP($A19,PlanoMaquinas[Usuário],PlanoMaquinas[Idade (anos)])</f>
        <v>15</v>
      </c>
      <c r="G19" s="31" t="s">
        <v>152</v>
      </c>
      <c r="H19" s="33" t="s">
        <v>150</v>
      </c>
      <c r="I19" s="33" t="s">
        <v>150</v>
      </c>
      <c r="J19" s="33" t="s">
        <v>154</v>
      </c>
      <c r="K19" s="34">
        <f t="shared" si="0"/>
        <v>0</v>
      </c>
    </row>
    <row r="22" spans="1:11" ht="15.75" x14ac:dyDescent="0.25">
      <c r="A22" s="21" t="s">
        <v>156</v>
      </c>
    </row>
    <row r="23" spans="1:11" x14ac:dyDescent="0.25">
      <c r="A23" s="11" t="s">
        <v>157</v>
      </c>
      <c r="B23" t="s">
        <v>158</v>
      </c>
    </row>
    <row r="24" spans="1:11" x14ac:dyDescent="0.25">
      <c r="A24" s="11" t="s">
        <v>159</v>
      </c>
      <c r="B24" t="s">
        <v>160</v>
      </c>
    </row>
    <row r="25" spans="1:11" x14ac:dyDescent="0.25">
      <c r="A25" s="11" t="s">
        <v>161</v>
      </c>
      <c r="B25" t="s">
        <v>162</v>
      </c>
    </row>
    <row r="26" spans="1:11" x14ac:dyDescent="0.25">
      <c r="A26" s="11" t="s">
        <v>163</v>
      </c>
      <c r="B26" t="s">
        <v>164</v>
      </c>
    </row>
    <row r="27" spans="1:11" x14ac:dyDescent="0.25">
      <c r="A27" s="11" t="s">
        <v>165</v>
      </c>
      <c r="B27" t="s">
        <v>166</v>
      </c>
    </row>
  </sheetData>
  <conditionalFormatting sqref="G12:G19">
    <cfRule type="beginsWith" dxfId="5" priority="1" operator="beginsWith" text="Reaproveitar (">
      <formula>LEFT(G12,LEN("Reaproveitar ("))="Reaproveitar ("</formula>
    </cfRule>
    <cfRule type="beginsWith" dxfId="4" priority="2" operator="beginsWith" text="Reaproveitar">
      <formula>LEFT(G12,LEN("Reaproveitar"))="Reaproveitar"</formula>
    </cfRule>
    <cfRule type="beginsWith" dxfId="3" priority="3" operator="beginsWith" text="Reposição">
      <formula>LEFT(G12,LEN("Reposição"))="Reposição"</formula>
    </cfRule>
    <cfRule type="beginsWith" dxfId="2" priority="4" operator="beginsWith" text="Descartar">
      <formula>LEFT(G12,LEN("Descartar"))="Descartar"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2F4B-7167-4D44-9B2F-6253476568B3}">
  <dimension ref="A1:O35"/>
  <sheetViews>
    <sheetView topLeftCell="A3" workbookViewId="0">
      <selection activeCell="M15" sqref="M15"/>
    </sheetView>
  </sheetViews>
  <sheetFormatPr defaultRowHeight="15" x14ac:dyDescent="0.25"/>
  <cols>
    <col min="1" max="1" width="50.42578125" customWidth="1"/>
    <col min="2" max="2" width="13.28515625" customWidth="1"/>
    <col min="3" max="3" width="26.7109375" customWidth="1"/>
    <col min="4" max="12" width="16.140625" customWidth="1"/>
    <col min="13" max="13" width="19" customWidth="1"/>
    <col min="14" max="14" width="18.140625" customWidth="1"/>
    <col min="15" max="15" width="16.140625" customWidth="1"/>
  </cols>
  <sheetData>
    <row r="1" spans="1:15" ht="18.75" x14ac:dyDescent="0.3">
      <c r="A1" s="15" t="s">
        <v>168</v>
      </c>
    </row>
    <row r="2" spans="1:15" x14ac:dyDescent="0.25">
      <c r="A2" s="16" t="s">
        <v>169</v>
      </c>
    </row>
    <row r="4" spans="1:15" x14ac:dyDescent="0.25">
      <c r="A4" s="20" t="s">
        <v>78</v>
      </c>
      <c r="B4" s="20" t="s">
        <v>79</v>
      </c>
      <c r="D4" s="41" t="s">
        <v>187</v>
      </c>
      <c r="E4" s="41"/>
      <c r="F4" s="41"/>
      <c r="G4" s="41"/>
      <c r="H4" s="20" t="s">
        <v>79</v>
      </c>
    </row>
    <row r="5" spans="1:15" x14ac:dyDescent="0.25">
      <c r="A5" t="s">
        <v>170</v>
      </c>
      <c r="B5" s="38">
        <f>DATE(2026,9,30)</f>
        <v>46295</v>
      </c>
      <c r="D5" s="40" t="s">
        <v>188</v>
      </c>
      <c r="E5" s="40"/>
      <c r="F5" s="40"/>
      <c r="G5" s="40"/>
      <c r="H5" s="36">
        <f>DeprecSimples[[#Totals],[Guardar por mês (R$)]]</f>
        <v>2010.4166666666663</v>
      </c>
    </row>
    <row r="6" spans="1:15" x14ac:dyDescent="0.25">
      <c r="A6" t="s">
        <v>171</v>
      </c>
      <c r="B6" s="14">
        <v>60</v>
      </c>
      <c r="D6" s="40" t="s">
        <v>189</v>
      </c>
      <c r="E6" s="40"/>
      <c r="F6" s="40"/>
      <c r="G6" s="40"/>
      <c r="H6" s="36">
        <f>DeprecSimples[[#Totals],[Guardar por ano (R$)]]</f>
        <v>24125</v>
      </c>
    </row>
    <row r="7" spans="1:15" x14ac:dyDescent="0.25">
      <c r="A7" t="s">
        <v>172</v>
      </c>
      <c r="B7" s="14">
        <v>48</v>
      </c>
      <c r="D7" s="40" t="s">
        <v>190</v>
      </c>
      <c r="E7" s="40"/>
      <c r="F7" s="40"/>
      <c r="G7" s="40"/>
      <c r="H7" s="37">
        <f>COUNTIFS(DeprecSimples[Situação],"Zerada")</f>
        <v>10</v>
      </c>
    </row>
    <row r="8" spans="1:15" x14ac:dyDescent="0.25">
      <c r="A8" t="s">
        <v>173</v>
      </c>
      <c r="B8" s="35">
        <f>'Plano de Modernização'!B8</f>
        <v>4500</v>
      </c>
      <c r="D8" s="40" t="s">
        <v>191</v>
      </c>
      <c r="E8" s="40"/>
      <c r="F8" s="40"/>
      <c r="G8" s="40"/>
      <c r="H8" s="37">
        <f>COUNTIFS(DeprecSimples[Situação],"Em depreciação")</f>
        <v>11</v>
      </c>
    </row>
    <row r="9" spans="1:15" x14ac:dyDescent="0.25">
      <c r="A9" t="s">
        <v>174</v>
      </c>
      <c r="B9" s="35">
        <f>'Plano de Modernização'!B9</f>
        <v>5500</v>
      </c>
      <c r="D9" s="40" t="s">
        <v>192</v>
      </c>
      <c r="E9" s="40"/>
      <c r="F9" s="40"/>
      <c r="G9" s="40"/>
      <c r="H9" s="36">
        <f>DeprecSimples[[#Totals],[Saldo a depreciar (R$)]]</f>
        <v>18900</v>
      </c>
    </row>
    <row r="10" spans="1:15" x14ac:dyDescent="0.25">
      <c r="A10" t="s">
        <v>175</v>
      </c>
      <c r="B10" s="14">
        <v>1</v>
      </c>
      <c r="D10" s="40" t="s">
        <v>193</v>
      </c>
      <c r="E10" s="40"/>
      <c r="F10" s="40"/>
      <c r="G10" s="40"/>
      <c r="H10" s="36">
        <f>DeprecSimples[[#Totals],[“Lucro” após zerar (R$)]]</f>
        <v>68783.333333333328</v>
      </c>
    </row>
    <row r="11" spans="1:15" x14ac:dyDescent="0.25">
      <c r="A11" s="16" t="s">
        <v>194</v>
      </c>
    </row>
    <row r="13" spans="1:15" ht="32.1" customHeight="1" x14ac:dyDescent="0.25">
      <c r="A13" s="33" t="s">
        <v>1</v>
      </c>
      <c r="B13" s="33" t="s">
        <v>87</v>
      </c>
      <c r="C13" s="33" t="s">
        <v>2</v>
      </c>
      <c r="D13" s="33" t="s">
        <v>176</v>
      </c>
      <c r="E13" s="33" t="s">
        <v>177</v>
      </c>
      <c r="F13" s="33" t="s">
        <v>178</v>
      </c>
      <c r="G13" s="33" t="s">
        <v>179</v>
      </c>
      <c r="H13" s="33" t="s">
        <v>180</v>
      </c>
      <c r="I13" s="33" t="s">
        <v>181</v>
      </c>
      <c r="J13" s="33" t="s">
        <v>182</v>
      </c>
      <c r="K13" s="33" t="s">
        <v>183</v>
      </c>
      <c r="L13" s="33" t="s">
        <v>184</v>
      </c>
      <c r="M13" s="33" t="s">
        <v>167</v>
      </c>
      <c r="N13" s="33" t="s">
        <v>185</v>
      </c>
      <c r="O13" s="33" t="s">
        <v>186</v>
      </c>
    </row>
    <row r="14" spans="1:15" x14ac:dyDescent="0.25">
      <c r="A14" s="18" t="str">
        <f>Planilha1!A4</f>
        <v>PRISCILA FERNANDES</v>
      </c>
      <c r="B14" s="18" t="str">
        <f>IF(Planilha1!E4="DT","Desktop","Notebook")</f>
        <v>Desktop</v>
      </c>
      <c r="C14" s="18" t="str">
        <f>Planilha1!B4</f>
        <v>INTEL I5 650</v>
      </c>
      <c r="D14" s="17">
        <f>_xlfn.XLOOKUP(A14,PlanoMaquinas[Usuário],PlanoMaquinas[Ano lanç.])+$B$10</f>
        <v>2011</v>
      </c>
      <c r="E14" s="27">
        <f t="shared" ref="E14:E34" si="0">IF(B14="Desktop",$B$8,$B$9)</f>
        <v>4500</v>
      </c>
      <c r="F14" s="17">
        <f t="shared" ref="F14:F34" si="1">IF(B14="Desktop",$B$6,$B$7)</f>
        <v>60</v>
      </c>
      <c r="G14" s="29">
        <f t="shared" ref="G14:G34" si="2">E14/F14</f>
        <v>75</v>
      </c>
      <c r="H14" s="29">
        <f t="shared" ref="H14:H34" si="3">G14*12</f>
        <v>900</v>
      </c>
      <c r="I14" s="17">
        <f t="shared" ref="I14:I34" si="4">DATEDIF(DATE(D14,1,1),$B$5,"m")</f>
        <v>188</v>
      </c>
      <c r="J14" s="27">
        <f t="shared" ref="J14:J34" si="5">MIN(I14,F14)*G14</f>
        <v>4500</v>
      </c>
      <c r="K14" s="27">
        <f t="shared" ref="K14:K34" si="6">E14-J14</f>
        <v>0</v>
      </c>
      <c r="L14" s="39">
        <f t="shared" ref="L14:L34" si="7">EDATE(DATE(D14,1,1),F14)</f>
        <v>42370</v>
      </c>
      <c r="M14" t="str">
        <f t="shared" ref="M14:M34" si="8">IF(I14&gt;=F14,"Zerada","Em depreciação")</f>
        <v>Zerada</v>
      </c>
      <c r="N14" s="17">
        <f t="shared" ref="N14:N34" si="9">MAX(0,I14-F14)</f>
        <v>128</v>
      </c>
      <c r="O14" s="27">
        <f t="shared" ref="O14:O34" si="10">N14*G14</f>
        <v>9600</v>
      </c>
    </row>
    <row r="15" spans="1:15" x14ac:dyDescent="0.25">
      <c r="A15" s="18" t="str">
        <f>Planilha1!A5</f>
        <v>IVANILDE MONTENEGRO</v>
      </c>
      <c r="B15" s="18" t="str">
        <f>IF(Planilha1!E5="DT","Desktop","Notebook")</f>
        <v>Desktop</v>
      </c>
      <c r="C15" s="18" t="str">
        <f>Planilha1!B5</f>
        <v>INTEL CORE I5 3470</v>
      </c>
      <c r="D15" s="17">
        <f>_xlfn.XLOOKUP(A15,PlanoMaquinas[Usuário],PlanoMaquinas[Ano lanç.])+$B$10</f>
        <v>2013</v>
      </c>
      <c r="E15" s="27">
        <f t="shared" si="0"/>
        <v>4500</v>
      </c>
      <c r="F15" s="17">
        <f t="shared" si="1"/>
        <v>60</v>
      </c>
      <c r="G15" s="29">
        <f t="shared" si="2"/>
        <v>75</v>
      </c>
      <c r="H15" s="29">
        <f t="shared" si="3"/>
        <v>900</v>
      </c>
      <c r="I15" s="17">
        <f t="shared" si="4"/>
        <v>164</v>
      </c>
      <c r="J15" s="27">
        <f t="shared" si="5"/>
        <v>4500</v>
      </c>
      <c r="K15" s="27">
        <f t="shared" si="6"/>
        <v>0</v>
      </c>
      <c r="L15" s="39">
        <f t="shared" si="7"/>
        <v>43101</v>
      </c>
      <c r="M15" t="str">
        <f t="shared" si="8"/>
        <v>Zerada</v>
      </c>
      <c r="N15" s="17">
        <f t="shared" si="9"/>
        <v>104</v>
      </c>
      <c r="O15" s="27">
        <f t="shared" si="10"/>
        <v>7800</v>
      </c>
    </row>
    <row r="16" spans="1:15" x14ac:dyDescent="0.25">
      <c r="A16" s="18" t="str">
        <f>Planilha1!A6</f>
        <v>JAQUELINE LESSA</v>
      </c>
      <c r="B16" s="18" t="str">
        <f>IF(Planilha1!E6="DT","Desktop","Notebook")</f>
        <v>Desktop</v>
      </c>
      <c r="C16" s="18" t="str">
        <f>Planilha1!B6</f>
        <v>INTEL CORE I5 3470</v>
      </c>
      <c r="D16" s="17">
        <f>_xlfn.XLOOKUP(A16,PlanoMaquinas[Usuário],PlanoMaquinas[Ano lanç.])+$B$10</f>
        <v>2013</v>
      </c>
      <c r="E16" s="27">
        <f t="shared" si="0"/>
        <v>4500</v>
      </c>
      <c r="F16" s="17">
        <f t="shared" si="1"/>
        <v>60</v>
      </c>
      <c r="G16" s="29">
        <f t="shared" si="2"/>
        <v>75</v>
      </c>
      <c r="H16" s="29">
        <f t="shared" si="3"/>
        <v>900</v>
      </c>
      <c r="I16" s="17">
        <f t="shared" si="4"/>
        <v>164</v>
      </c>
      <c r="J16" s="27">
        <f t="shared" si="5"/>
        <v>4500</v>
      </c>
      <c r="K16" s="27">
        <f t="shared" si="6"/>
        <v>0</v>
      </c>
      <c r="L16" s="39">
        <f t="shared" si="7"/>
        <v>43101</v>
      </c>
      <c r="M16" t="str">
        <f t="shared" si="8"/>
        <v>Zerada</v>
      </c>
      <c r="N16" s="17">
        <f t="shared" si="9"/>
        <v>104</v>
      </c>
      <c r="O16" s="27">
        <f t="shared" si="10"/>
        <v>7800</v>
      </c>
    </row>
    <row r="17" spans="1:15" x14ac:dyDescent="0.25">
      <c r="A17" s="18" t="str">
        <f>Planilha1!A7</f>
        <v>THAMIRES OLIVEIRA</v>
      </c>
      <c r="B17" s="18" t="str">
        <f>IF(Planilha1!E7="DT","Desktop","Notebook")</f>
        <v>Notebook</v>
      </c>
      <c r="C17" s="18" t="str">
        <f>Planilha1!B7</f>
        <v>INTEL CORE I5 1334U</v>
      </c>
      <c r="D17" s="17">
        <f>_xlfn.XLOOKUP(A17,PlanoMaquinas[Usuário],PlanoMaquinas[Ano lanç.])+$B$10</f>
        <v>2024</v>
      </c>
      <c r="E17" s="27">
        <f t="shared" si="0"/>
        <v>5500</v>
      </c>
      <c r="F17" s="17">
        <f t="shared" si="1"/>
        <v>48</v>
      </c>
      <c r="G17" s="29">
        <f t="shared" si="2"/>
        <v>114.58333333333333</v>
      </c>
      <c r="H17" s="29">
        <f t="shared" si="3"/>
        <v>1375</v>
      </c>
      <c r="I17" s="17">
        <f t="shared" si="4"/>
        <v>32</v>
      </c>
      <c r="J17" s="27">
        <f t="shared" si="5"/>
        <v>3666.6666666666665</v>
      </c>
      <c r="K17" s="27">
        <f t="shared" si="6"/>
        <v>1833.3333333333335</v>
      </c>
      <c r="L17" s="39">
        <f t="shared" si="7"/>
        <v>46753</v>
      </c>
      <c r="M17" t="str">
        <f t="shared" si="8"/>
        <v>Em depreciação</v>
      </c>
      <c r="N17" s="17">
        <f t="shared" si="9"/>
        <v>0</v>
      </c>
      <c r="O17" s="27">
        <f t="shared" si="10"/>
        <v>0</v>
      </c>
    </row>
    <row r="18" spans="1:15" x14ac:dyDescent="0.25">
      <c r="A18" s="18" t="str">
        <f>Planilha1!A8</f>
        <v>EVELIN CUNHA</v>
      </c>
      <c r="B18" s="18" t="str">
        <f>IF(Planilha1!E8="DT","Desktop","Notebook")</f>
        <v>Desktop</v>
      </c>
      <c r="C18" s="18" t="str">
        <f>Planilha1!B8</f>
        <v>INTEL CORE I5 12400</v>
      </c>
      <c r="D18" s="17">
        <f>_xlfn.XLOOKUP(A18,PlanoMaquinas[Usuário],PlanoMaquinas[Ano lanç.])+$B$10</f>
        <v>2023</v>
      </c>
      <c r="E18" s="27">
        <f t="shared" si="0"/>
        <v>4500</v>
      </c>
      <c r="F18" s="17">
        <f t="shared" si="1"/>
        <v>60</v>
      </c>
      <c r="G18" s="29">
        <f t="shared" si="2"/>
        <v>75</v>
      </c>
      <c r="H18" s="29">
        <f t="shared" si="3"/>
        <v>900</v>
      </c>
      <c r="I18" s="17">
        <f t="shared" si="4"/>
        <v>44</v>
      </c>
      <c r="J18" s="27">
        <f t="shared" si="5"/>
        <v>3300</v>
      </c>
      <c r="K18" s="27">
        <f t="shared" si="6"/>
        <v>1200</v>
      </c>
      <c r="L18" s="39">
        <f t="shared" si="7"/>
        <v>46753</v>
      </c>
      <c r="M18" t="str">
        <f t="shared" si="8"/>
        <v>Em depreciação</v>
      </c>
      <c r="N18" s="17">
        <f t="shared" si="9"/>
        <v>0</v>
      </c>
      <c r="O18" s="27">
        <f t="shared" si="10"/>
        <v>0</v>
      </c>
    </row>
    <row r="19" spans="1:15" x14ac:dyDescent="0.25">
      <c r="A19" s="18" t="str">
        <f>Planilha1!A9</f>
        <v>ISMAEL CAMPELO</v>
      </c>
      <c r="B19" s="18" t="str">
        <f>IF(Planilha1!E9="DT","Desktop","Notebook")</f>
        <v>Desktop</v>
      </c>
      <c r="C19" s="18" t="str">
        <f>Planilha1!B9</f>
        <v>INTEL I5 650</v>
      </c>
      <c r="D19" s="17">
        <f>_xlfn.XLOOKUP(A19,PlanoMaquinas[Usuário],PlanoMaquinas[Ano lanç.])+$B$10</f>
        <v>2011</v>
      </c>
      <c r="E19" s="27">
        <f t="shared" si="0"/>
        <v>4500</v>
      </c>
      <c r="F19" s="17">
        <f t="shared" si="1"/>
        <v>60</v>
      </c>
      <c r="G19" s="29">
        <f t="shared" si="2"/>
        <v>75</v>
      </c>
      <c r="H19" s="29">
        <f t="shared" si="3"/>
        <v>900</v>
      </c>
      <c r="I19" s="17">
        <f t="shared" si="4"/>
        <v>188</v>
      </c>
      <c r="J19" s="27">
        <f t="shared" si="5"/>
        <v>4500</v>
      </c>
      <c r="K19" s="27">
        <f t="shared" si="6"/>
        <v>0</v>
      </c>
      <c r="L19" s="39">
        <f t="shared" si="7"/>
        <v>42370</v>
      </c>
      <c r="M19" t="str">
        <f t="shared" si="8"/>
        <v>Zerada</v>
      </c>
      <c r="N19" s="17">
        <f t="shared" si="9"/>
        <v>128</v>
      </c>
      <c r="O19" s="27">
        <f t="shared" si="10"/>
        <v>9600</v>
      </c>
    </row>
    <row r="20" spans="1:15" x14ac:dyDescent="0.25">
      <c r="A20" s="18" t="str">
        <f>Planilha1!A10</f>
        <v>MARCELO GONÇALVES</v>
      </c>
      <c r="B20" s="18" t="str">
        <f>IF(Planilha1!E10="DT","Desktop","Notebook")</f>
        <v>Desktop</v>
      </c>
      <c r="C20" s="18" t="str">
        <f>Planilha1!B10</f>
        <v>INTEL CORE I7 3770</v>
      </c>
      <c r="D20" s="17">
        <f>_xlfn.XLOOKUP(A20,PlanoMaquinas[Usuário],PlanoMaquinas[Ano lanç.])+$B$10</f>
        <v>2013</v>
      </c>
      <c r="E20" s="27">
        <f t="shared" si="0"/>
        <v>4500</v>
      </c>
      <c r="F20" s="17">
        <f t="shared" si="1"/>
        <v>60</v>
      </c>
      <c r="G20" s="29">
        <f t="shared" si="2"/>
        <v>75</v>
      </c>
      <c r="H20" s="29">
        <f t="shared" si="3"/>
        <v>900</v>
      </c>
      <c r="I20" s="17">
        <f t="shared" si="4"/>
        <v>164</v>
      </c>
      <c r="J20" s="27">
        <f t="shared" si="5"/>
        <v>4500</v>
      </c>
      <c r="K20" s="27">
        <f t="shared" si="6"/>
        <v>0</v>
      </c>
      <c r="L20" s="39">
        <f t="shared" si="7"/>
        <v>43101</v>
      </c>
      <c r="M20" t="str">
        <f t="shared" si="8"/>
        <v>Zerada</v>
      </c>
      <c r="N20" s="17">
        <f t="shared" si="9"/>
        <v>104</v>
      </c>
      <c r="O20" s="27">
        <f t="shared" si="10"/>
        <v>7800</v>
      </c>
    </row>
    <row r="21" spans="1:15" x14ac:dyDescent="0.25">
      <c r="A21" s="18" t="str">
        <f>Planilha1!A11</f>
        <v>FABRICIO MEDEIROS</v>
      </c>
      <c r="B21" s="18" t="str">
        <f>IF(Planilha1!E11="DT","Desktop","Notebook")</f>
        <v>Notebook</v>
      </c>
      <c r="C21" s="18" t="str">
        <f>Planilha1!B11</f>
        <v>INTEL CORE I7 1165G7</v>
      </c>
      <c r="D21" s="17">
        <f>_xlfn.XLOOKUP(A21,PlanoMaquinas[Usuário],PlanoMaquinas[Ano lanç.])+$B$10</f>
        <v>2021</v>
      </c>
      <c r="E21" s="27">
        <f t="shared" si="0"/>
        <v>5500</v>
      </c>
      <c r="F21" s="17">
        <f t="shared" si="1"/>
        <v>48</v>
      </c>
      <c r="G21" s="29">
        <f t="shared" si="2"/>
        <v>114.58333333333333</v>
      </c>
      <c r="H21" s="29">
        <f t="shared" si="3"/>
        <v>1375</v>
      </c>
      <c r="I21" s="17">
        <f t="shared" si="4"/>
        <v>68</v>
      </c>
      <c r="J21" s="27">
        <f t="shared" si="5"/>
        <v>5500</v>
      </c>
      <c r="K21" s="27">
        <f t="shared" si="6"/>
        <v>0</v>
      </c>
      <c r="L21" s="39">
        <f t="shared" si="7"/>
        <v>45658</v>
      </c>
      <c r="M21" t="str">
        <f t="shared" si="8"/>
        <v>Zerada</v>
      </c>
      <c r="N21" s="17">
        <f t="shared" si="9"/>
        <v>20</v>
      </c>
      <c r="O21" s="27">
        <f t="shared" si="10"/>
        <v>2291.6666666666665</v>
      </c>
    </row>
    <row r="22" spans="1:15" x14ac:dyDescent="0.25">
      <c r="A22" s="18" t="str">
        <f>Planilha1!A12</f>
        <v>ANDRÉ MANHÃES</v>
      </c>
      <c r="B22" s="18" t="str">
        <f>IF(Planilha1!E12="DT","Desktop","Notebook")</f>
        <v>Desktop</v>
      </c>
      <c r="C22" s="18" t="str">
        <f>Planilha1!B12</f>
        <v>INTEL CORE I5 7400</v>
      </c>
      <c r="D22" s="17">
        <f>_xlfn.XLOOKUP(A22,PlanoMaquinas[Usuário],PlanoMaquinas[Ano lanç.])+$B$10</f>
        <v>2018</v>
      </c>
      <c r="E22" s="27">
        <f t="shared" si="0"/>
        <v>4500</v>
      </c>
      <c r="F22" s="17">
        <f t="shared" si="1"/>
        <v>60</v>
      </c>
      <c r="G22" s="29">
        <f t="shared" si="2"/>
        <v>75</v>
      </c>
      <c r="H22" s="29">
        <f t="shared" si="3"/>
        <v>900</v>
      </c>
      <c r="I22" s="17">
        <f t="shared" si="4"/>
        <v>104</v>
      </c>
      <c r="J22" s="27">
        <f t="shared" si="5"/>
        <v>4500</v>
      </c>
      <c r="K22" s="27">
        <f t="shared" si="6"/>
        <v>0</v>
      </c>
      <c r="L22" s="39">
        <f t="shared" si="7"/>
        <v>44927</v>
      </c>
      <c r="M22" t="str">
        <f t="shared" si="8"/>
        <v>Zerada</v>
      </c>
      <c r="N22" s="17">
        <f t="shared" si="9"/>
        <v>44</v>
      </c>
      <c r="O22" s="27">
        <f t="shared" si="10"/>
        <v>3300</v>
      </c>
    </row>
    <row r="23" spans="1:15" x14ac:dyDescent="0.25">
      <c r="A23" s="18" t="str">
        <f>Planilha1!A13</f>
        <v>FELIPE FACHETTI</v>
      </c>
      <c r="B23" s="18" t="str">
        <f>IF(Planilha1!E13="DT","Desktop","Notebook")</f>
        <v>Notebook</v>
      </c>
      <c r="C23" s="18" t="str">
        <f>Planilha1!B13</f>
        <v>INTEL CORE I5 1334U</v>
      </c>
      <c r="D23" s="17">
        <f>_xlfn.XLOOKUP(A23,PlanoMaquinas[Usuário],PlanoMaquinas[Ano lanç.])+$B$10</f>
        <v>2024</v>
      </c>
      <c r="E23" s="27">
        <f t="shared" si="0"/>
        <v>5500</v>
      </c>
      <c r="F23" s="17">
        <f t="shared" si="1"/>
        <v>48</v>
      </c>
      <c r="G23" s="29">
        <f t="shared" si="2"/>
        <v>114.58333333333333</v>
      </c>
      <c r="H23" s="29">
        <f t="shared" si="3"/>
        <v>1375</v>
      </c>
      <c r="I23" s="17">
        <f t="shared" si="4"/>
        <v>32</v>
      </c>
      <c r="J23" s="27">
        <f t="shared" si="5"/>
        <v>3666.6666666666665</v>
      </c>
      <c r="K23" s="27">
        <f t="shared" si="6"/>
        <v>1833.3333333333335</v>
      </c>
      <c r="L23" s="39">
        <f t="shared" si="7"/>
        <v>46753</v>
      </c>
      <c r="M23" t="str">
        <f t="shared" si="8"/>
        <v>Em depreciação</v>
      </c>
      <c r="N23" s="17">
        <f t="shared" si="9"/>
        <v>0</v>
      </c>
      <c r="O23" s="27">
        <f t="shared" si="10"/>
        <v>0</v>
      </c>
    </row>
    <row r="24" spans="1:15" x14ac:dyDescent="0.25">
      <c r="A24" s="18" t="str">
        <f>Planilha1!A14</f>
        <v>ALEXANDRO NASCIMENTO</v>
      </c>
      <c r="B24" s="18" t="str">
        <f>IF(Planilha1!E14="DT","Desktop","Notebook")</f>
        <v>Notebook</v>
      </c>
      <c r="C24" s="18" t="str">
        <f>Planilha1!B14</f>
        <v>INTEL CORE I7 1165G7</v>
      </c>
      <c r="D24" s="17">
        <f>_xlfn.XLOOKUP(A24,PlanoMaquinas[Usuário],PlanoMaquinas[Ano lanç.])+$B$10</f>
        <v>2021</v>
      </c>
      <c r="E24" s="27">
        <f t="shared" si="0"/>
        <v>5500</v>
      </c>
      <c r="F24" s="17">
        <f t="shared" si="1"/>
        <v>48</v>
      </c>
      <c r="G24" s="29">
        <f t="shared" si="2"/>
        <v>114.58333333333333</v>
      </c>
      <c r="H24" s="29">
        <f t="shared" si="3"/>
        <v>1375</v>
      </c>
      <c r="I24" s="17">
        <f t="shared" si="4"/>
        <v>68</v>
      </c>
      <c r="J24" s="27">
        <f t="shared" si="5"/>
        <v>5500</v>
      </c>
      <c r="K24" s="27">
        <f t="shared" si="6"/>
        <v>0</v>
      </c>
      <c r="L24" s="39">
        <f t="shared" si="7"/>
        <v>45658</v>
      </c>
      <c r="M24" t="str">
        <f t="shared" si="8"/>
        <v>Zerada</v>
      </c>
      <c r="N24" s="17">
        <f t="shared" si="9"/>
        <v>20</v>
      </c>
      <c r="O24" s="27">
        <f t="shared" si="10"/>
        <v>2291.6666666666665</v>
      </c>
    </row>
    <row r="25" spans="1:15" x14ac:dyDescent="0.25">
      <c r="A25" s="18" t="str">
        <f>Planilha1!A15</f>
        <v>SAC</v>
      </c>
      <c r="B25" s="18" t="str">
        <f>IF(Planilha1!E15="DT","Desktop","Notebook")</f>
        <v>Desktop</v>
      </c>
      <c r="C25" s="18" t="str">
        <f>Planilha1!B15</f>
        <v>INTEL CORE I3 2120</v>
      </c>
      <c r="D25" s="17">
        <f>_xlfn.XLOOKUP(A25,PlanoMaquinas[Usuário],PlanoMaquinas[Ano lanç.])+$B$10</f>
        <v>2012</v>
      </c>
      <c r="E25" s="27">
        <f t="shared" si="0"/>
        <v>4500</v>
      </c>
      <c r="F25" s="17">
        <f t="shared" si="1"/>
        <v>60</v>
      </c>
      <c r="G25" s="29">
        <f t="shared" si="2"/>
        <v>75</v>
      </c>
      <c r="H25" s="29">
        <f t="shared" si="3"/>
        <v>900</v>
      </c>
      <c r="I25" s="17">
        <f t="shared" si="4"/>
        <v>176</v>
      </c>
      <c r="J25" s="27">
        <f t="shared" si="5"/>
        <v>4500</v>
      </c>
      <c r="K25" s="27">
        <f t="shared" si="6"/>
        <v>0</v>
      </c>
      <c r="L25" s="39">
        <f t="shared" si="7"/>
        <v>42736</v>
      </c>
      <c r="M25" t="str">
        <f t="shared" si="8"/>
        <v>Zerada</v>
      </c>
      <c r="N25" s="17">
        <f t="shared" si="9"/>
        <v>116</v>
      </c>
      <c r="O25" s="27">
        <f t="shared" si="10"/>
        <v>8700</v>
      </c>
    </row>
    <row r="26" spans="1:15" x14ac:dyDescent="0.25">
      <c r="A26" s="18" t="str">
        <f>Planilha1!A16</f>
        <v>MARCOS CARVALHO</v>
      </c>
      <c r="B26" s="18" t="str">
        <f>IF(Planilha1!E16="DT","Desktop","Notebook")</f>
        <v>Desktop</v>
      </c>
      <c r="C26" s="18" t="str">
        <f>Planilha1!B16</f>
        <v>INTEL CORE I5 650</v>
      </c>
      <c r="D26" s="17">
        <f>_xlfn.XLOOKUP(A26,PlanoMaquinas[Usuário],PlanoMaquinas[Ano lanç.])+$B$10</f>
        <v>2011</v>
      </c>
      <c r="E26" s="27">
        <f t="shared" si="0"/>
        <v>4500</v>
      </c>
      <c r="F26" s="17">
        <f t="shared" si="1"/>
        <v>60</v>
      </c>
      <c r="G26" s="29">
        <f t="shared" si="2"/>
        <v>75</v>
      </c>
      <c r="H26" s="29">
        <f t="shared" si="3"/>
        <v>900</v>
      </c>
      <c r="I26" s="17">
        <f t="shared" si="4"/>
        <v>188</v>
      </c>
      <c r="J26" s="27">
        <f t="shared" si="5"/>
        <v>4500</v>
      </c>
      <c r="K26" s="27">
        <f t="shared" si="6"/>
        <v>0</v>
      </c>
      <c r="L26" s="39">
        <f t="shared" si="7"/>
        <v>42370</v>
      </c>
      <c r="M26" t="str">
        <f t="shared" si="8"/>
        <v>Zerada</v>
      </c>
      <c r="N26" s="17">
        <f t="shared" si="9"/>
        <v>128</v>
      </c>
      <c r="O26" s="27">
        <f t="shared" si="10"/>
        <v>9600</v>
      </c>
    </row>
    <row r="27" spans="1:15" x14ac:dyDescent="0.25">
      <c r="A27" s="18" t="str">
        <f>Planilha1!A17</f>
        <v>LUCIA MEDEIROS</v>
      </c>
      <c r="B27" s="18" t="str">
        <f>IF(Planilha1!E17="DT","Desktop","Notebook")</f>
        <v>Desktop</v>
      </c>
      <c r="C27" s="18" t="str">
        <f>Planilha1!B17</f>
        <v>INTEL CORE I5 12500</v>
      </c>
      <c r="D27" s="17">
        <f>_xlfn.XLOOKUP(A27,PlanoMaquinas[Usuário],PlanoMaquinas[Ano lanç.])+$B$10</f>
        <v>2023</v>
      </c>
      <c r="E27" s="27">
        <f t="shared" si="0"/>
        <v>4500</v>
      </c>
      <c r="F27" s="17">
        <f t="shared" si="1"/>
        <v>60</v>
      </c>
      <c r="G27" s="29">
        <f t="shared" si="2"/>
        <v>75</v>
      </c>
      <c r="H27" s="29">
        <f t="shared" si="3"/>
        <v>900</v>
      </c>
      <c r="I27" s="17">
        <f t="shared" si="4"/>
        <v>44</v>
      </c>
      <c r="J27" s="27">
        <f t="shared" si="5"/>
        <v>3300</v>
      </c>
      <c r="K27" s="27">
        <f t="shared" si="6"/>
        <v>1200</v>
      </c>
      <c r="L27" s="39">
        <f t="shared" si="7"/>
        <v>46753</v>
      </c>
      <c r="M27" t="str">
        <f t="shared" si="8"/>
        <v>Em depreciação</v>
      </c>
      <c r="N27" s="17">
        <f t="shared" si="9"/>
        <v>0</v>
      </c>
      <c r="O27" s="27">
        <f t="shared" si="10"/>
        <v>0</v>
      </c>
    </row>
    <row r="28" spans="1:15" x14ac:dyDescent="0.25">
      <c r="A28" s="18" t="str">
        <f>Planilha1!A18</f>
        <v xml:space="preserve">LUDMILLA OLIVEIRA </v>
      </c>
      <c r="B28" s="18" t="str">
        <f>IF(Planilha1!E18="DT","Desktop","Notebook")</f>
        <v>Notebook</v>
      </c>
      <c r="C28" s="18" t="str">
        <f>Planilha1!B18</f>
        <v>INTEL CORE I7 1355U</v>
      </c>
      <c r="D28" s="17">
        <f>_xlfn.XLOOKUP(A28,PlanoMaquinas[Usuário],PlanoMaquinas[Ano lanç.])+$B$10</f>
        <v>2024</v>
      </c>
      <c r="E28" s="27">
        <f t="shared" si="0"/>
        <v>5500</v>
      </c>
      <c r="F28" s="17">
        <f t="shared" si="1"/>
        <v>48</v>
      </c>
      <c r="G28" s="29">
        <f t="shared" si="2"/>
        <v>114.58333333333333</v>
      </c>
      <c r="H28" s="29">
        <f t="shared" si="3"/>
        <v>1375</v>
      </c>
      <c r="I28" s="17">
        <f t="shared" si="4"/>
        <v>32</v>
      </c>
      <c r="J28" s="27">
        <f t="shared" si="5"/>
        <v>3666.6666666666665</v>
      </c>
      <c r="K28" s="27">
        <f t="shared" si="6"/>
        <v>1833.3333333333335</v>
      </c>
      <c r="L28" s="39">
        <f t="shared" si="7"/>
        <v>46753</v>
      </c>
      <c r="M28" t="str">
        <f t="shared" si="8"/>
        <v>Em depreciação</v>
      </c>
      <c r="N28" s="17">
        <f t="shared" si="9"/>
        <v>0</v>
      </c>
      <c r="O28" s="27">
        <f t="shared" si="10"/>
        <v>0</v>
      </c>
    </row>
    <row r="29" spans="1:15" x14ac:dyDescent="0.25">
      <c r="A29" s="18" t="str">
        <f>Planilha1!A19</f>
        <v>GLAUCIA LORIANO</v>
      </c>
      <c r="B29" s="18" t="str">
        <f>IF(Planilha1!E19="DT","Desktop","Notebook")</f>
        <v>Notebook</v>
      </c>
      <c r="C29" s="18" t="str">
        <f>Planilha1!B19</f>
        <v>INTEL CORE I7 1355U</v>
      </c>
      <c r="D29" s="17">
        <f>_xlfn.XLOOKUP(A29,PlanoMaquinas[Usuário],PlanoMaquinas[Ano lanç.])+$B$10</f>
        <v>2024</v>
      </c>
      <c r="E29" s="27">
        <f t="shared" si="0"/>
        <v>5500</v>
      </c>
      <c r="F29" s="17">
        <f t="shared" si="1"/>
        <v>48</v>
      </c>
      <c r="G29" s="29">
        <f t="shared" si="2"/>
        <v>114.58333333333333</v>
      </c>
      <c r="H29" s="29">
        <f t="shared" si="3"/>
        <v>1375</v>
      </c>
      <c r="I29" s="17">
        <f t="shared" si="4"/>
        <v>32</v>
      </c>
      <c r="J29" s="27">
        <f t="shared" si="5"/>
        <v>3666.6666666666665</v>
      </c>
      <c r="K29" s="27">
        <f t="shared" si="6"/>
        <v>1833.3333333333335</v>
      </c>
      <c r="L29" s="39">
        <f t="shared" si="7"/>
        <v>46753</v>
      </c>
      <c r="M29" t="str">
        <f t="shared" si="8"/>
        <v>Em depreciação</v>
      </c>
      <c r="N29" s="17">
        <f t="shared" si="9"/>
        <v>0</v>
      </c>
      <c r="O29" s="27">
        <f t="shared" si="10"/>
        <v>0</v>
      </c>
    </row>
    <row r="30" spans="1:15" x14ac:dyDescent="0.25">
      <c r="A30" s="18" t="str">
        <f>Planilha1!A20</f>
        <v>BENVIDA LUCIA</v>
      </c>
      <c r="B30" s="18" t="str">
        <f>IF(Planilha1!E20="DT","Desktop","Notebook")</f>
        <v>Notebook</v>
      </c>
      <c r="C30" s="18" t="str">
        <f>Planilha1!B20</f>
        <v>INTEL CORE I5 13420H</v>
      </c>
      <c r="D30" s="17">
        <f>_xlfn.XLOOKUP(A30,PlanoMaquinas[Usuário],PlanoMaquinas[Ano lanç.])+$B$10</f>
        <v>2024</v>
      </c>
      <c r="E30" s="27">
        <f t="shared" si="0"/>
        <v>5500</v>
      </c>
      <c r="F30" s="17">
        <f t="shared" si="1"/>
        <v>48</v>
      </c>
      <c r="G30" s="29">
        <f t="shared" si="2"/>
        <v>114.58333333333333</v>
      </c>
      <c r="H30" s="29">
        <f t="shared" si="3"/>
        <v>1375</v>
      </c>
      <c r="I30" s="17">
        <f t="shared" si="4"/>
        <v>32</v>
      </c>
      <c r="J30" s="27">
        <f t="shared" si="5"/>
        <v>3666.6666666666665</v>
      </c>
      <c r="K30" s="27">
        <f t="shared" si="6"/>
        <v>1833.3333333333335</v>
      </c>
      <c r="L30" s="39">
        <f t="shared" si="7"/>
        <v>46753</v>
      </c>
      <c r="M30" t="str">
        <f t="shared" si="8"/>
        <v>Em depreciação</v>
      </c>
      <c r="N30" s="17">
        <f t="shared" si="9"/>
        <v>0</v>
      </c>
      <c r="O30" s="27">
        <f t="shared" si="10"/>
        <v>0</v>
      </c>
    </row>
    <row r="31" spans="1:15" x14ac:dyDescent="0.25">
      <c r="A31" s="18" t="str">
        <f>Planilha1!A21</f>
        <v>LARISSA MURCIA</v>
      </c>
      <c r="B31" s="18" t="str">
        <f>IF(Planilha1!E21="DT","Desktop","Notebook")</f>
        <v>Notebook</v>
      </c>
      <c r="C31" s="18" t="str">
        <f>Planilha1!B21</f>
        <v>INTEL CORE I7 1355U</v>
      </c>
      <c r="D31" s="17">
        <f>_xlfn.XLOOKUP(A31,PlanoMaquinas[Usuário],PlanoMaquinas[Ano lanç.])+$B$10</f>
        <v>2024</v>
      </c>
      <c r="E31" s="27">
        <f t="shared" si="0"/>
        <v>5500</v>
      </c>
      <c r="F31" s="17">
        <f t="shared" si="1"/>
        <v>48</v>
      </c>
      <c r="G31" s="29">
        <f t="shared" si="2"/>
        <v>114.58333333333333</v>
      </c>
      <c r="H31" s="29">
        <f t="shared" si="3"/>
        <v>1375</v>
      </c>
      <c r="I31" s="17">
        <f t="shared" si="4"/>
        <v>32</v>
      </c>
      <c r="J31" s="27">
        <f t="shared" si="5"/>
        <v>3666.6666666666665</v>
      </c>
      <c r="K31" s="27">
        <f t="shared" si="6"/>
        <v>1833.3333333333335</v>
      </c>
      <c r="L31" s="39">
        <f t="shared" si="7"/>
        <v>46753</v>
      </c>
      <c r="M31" t="str">
        <f t="shared" si="8"/>
        <v>Em depreciação</v>
      </c>
      <c r="N31" s="17">
        <f t="shared" si="9"/>
        <v>0</v>
      </c>
      <c r="O31" s="27">
        <f t="shared" si="10"/>
        <v>0</v>
      </c>
    </row>
    <row r="32" spans="1:15" x14ac:dyDescent="0.25">
      <c r="A32" s="18" t="str">
        <f>Planilha1!A22</f>
        <v>ELIDIANE RODRIGUES</v>
      </c>
      <c r="B32" s="18" t="str">
        <f>IF(Planilha1!E22="DT","Desktop","Notebook")</f>
        <v>Notebook</v>
      </c>
      <c r="C32" s="18" t="str">
        <f>Planilha1!B22</f>
        <v>INTEL CORE I5 1334U</v>
      </c>
      <c r="D32" s="17">
        <f>_xlfn.XLOOKUP(A32,PlanoMaquinas[Usuário],PlanoMaquinas[Ano lanç.])+$B$10</f>
        <v>2024</v>
      </c>
      <c r="E32" s="27">
        <f t="shared" si="0"/>
        <v>5500</v>
      </c>
      <c r="F32" s="17">
        <f t="shared" si="1"/>
        <v>48</v>
      </c>
      <c r="G32" s="29">
        <f t="shared" si="2"/>
        <v>114.58333333333333</v>
      </c>
      <c r="H32" s="29">
        <f t="shared" si="3"/>
        <v>1375</v>
      </c>
      <c r="I32" s="17">
        <f t="shared" si="4"/>
        <v>32</v>
      </c>
      <c r="J32" s="27">
        <f t="shared" si="5"/>
        <v>3666.6666666666665</v>
      </c>
      <c r="K32" s="27">
        <f t="shared" si="6"/>
        <v>1833.3333333333335</v>
      </c>
      <c r="L32" s="39">
        <f t="shared" si="7"/>
        <v>46753</v>
      </c>
      <c r="M32" t="str">
        <f t="shared" si="8"/>
        <v>Em depreciação</v>
      </c>
      <c r="N32" s="17">
        <f t="shared" si="9"/>
        <v>0</v>
      </c>
      <c r="O32" s="27">
        <f t="shared" si="10"/>
        <v>0</v>
      </c>
    </row>
    <row r="33" spans="1:15" x14ac:dyDescent="0.25">
      <c r="A33" s="18" t="str">
        <f>Planilha1!A23</f>
        <v>DANIELLE MOITAS</v>
      </c>
      <c r="B33" s="18" t="str">
        <f>IF(Planilha1!E23="DT","Desktop","Notebook")</f>
        <v>Notebook</v>
      </c>
      <c r="C33" s="18" t="str">
        <f>Planilha1!B23</f>
        <v>INTEL CORE I5 1334U</v>
      </c>
      <c r="D33" s="17">
        <f>_xlfn.XLOOKUP(A33,PlanoMaquinas[Usuário],PlanoMaquinas[Ano lanç.])+$B$10</f>
        <v>2024</v>
      </c>
      <c r="E33" s="27">
        <f t="shared" si="0"/>
        <v>5500</v>
      </c>
      <c r="F33" s="17">
        <f t="shared" si="1"/>
        <v>48</v>
      </c>
      <c r="G33" s="29">
        <f t="shared" si="2"/>
        <v>114.58333333333333</v>
      </c>
      <c r="H33" s="29">
        <f t="shared" si="3"/>
        <v>1375</v>
      </c>
      <c r="I33" s="17">
        <f t="shared" si="4"/>
        <v>32</v>
      </c>
      <c r="J33" s="27">
        <f t="shared" si="5"/>
        <v>3666.6666666666665</v>
      </c>
      <c r="K33" s="27">
        <f t="shared" si="6"/>
        <v>1833.3333333333335</v>
      </c>
      <c r="L33" s="39">
        <f t="shared" si="7"/>
        <v>46753</v>
      </c>
      <c r="M33" t="str">
        <f t="shared" si="8"/>
        <v>Em depreciação</v>
      </c>
      <c r="N33" s="17">
        <f t="shared" si="9"/>
        <v>0</v>
      </c>
      <c r="O33" s="27">
        <f t="shared" si="10"/>
        <v>0</v>
      </c>
    </row>
    <row r="34" spans="1:15" x14ac:dyDescent="0.25">
      <c r="A34" s="18" t="str">
        <f>Planilha1!A24</f>
        <v xml:space="preserve">MARCELO REBELO </v>
      </c>
      <c r="B34" s="18" t="str">
        <f>IF(Planilha1!E24="DT","Desktop","Notebook")</f>
        <v>Notebook</v>
      </c>
      <c r="C34" s="18" t="str">
        <f>Planilha1!B24</f>
        <v>INTEL CORE I5 1334U</v>
      </c>
      <c r="D34" s="17">
        <f>_xlfn.XLOOKUP(A34,PlanoMaquinas[Usuário],PlanoMaquinas[Ano lanç.])+$B$10</f>
        <v>2024</v>
      </c>
      <c r="E34" s="27">
        <f t="shared" si="0"/>
        <v>5500</v>
      </c>
      <c r="F34" s="17">
        <f t="shared" si="1"/>
        <v>48</v>
      </c>
      <c r="G34" s="29">
        <f t="shared" si="2"/>
        <v>114.58333333333333</v>
      </c>
      <c r="H34" s="29">
        <f t="shared" si="3"/>
        <v>1375</v>
      </c>
      <c r="I34" s="17">
        <f t="shared" si="4"/>
        <v>32</v>
      </c>
      <c r="J34" s="27">
        <f t="shared" si="5"/>
        <v>3666.6666666666665</v>
      </c>
      <c r="K34" s="27">
        <f t="shared" si="6"/>
        <v>1833.3333333333335</v>
      </c>
      <c r="L34" s="39">
        <f t="shared" si="7"/>
        <v>46753</v>
      </c>
      <c r="M34" t="str">
        <f t="shared" si="8"/>
        <v>Em depreciação</v>
      </c>
      <c r="N34" s="17">
        <f t="shared" si="9"/>
        <v>0</v>
      </c>
      <c r="O34" s="27">
        <f t="shared" si="10"/>
        <v>0</v>
      </c>
    </row>
    <row r="35" spans="1:15" x14ac:dyDescent="0.25">
      <c r="A35" t="s">
        <v>113</v>
      </c>
      <c r="E35" s="27">
        <f>SUBTOTAL(109,DeprecSimples[Valor da máquina (R$)])</f>
        <v>105500</v>
      </c>
      <c r="G35" s="29">
        <f>SUBTOTAL(109,DeprecSimples[Guardar por mês (R$)])</f>
        <v>2010.4166666666663</v>
      </c>
      <c r="H35" s="29">
        <f>SUBTOTAL(109,DeprecSimples[Guardar por ano (R$)])</f>
        <v>24125</v>
      </c>
      <c r="J35" s="27">
        <f>SUBTOTAL(109,DeprecSimples[Valor já depreciado (R$)])</f>
        <v>86600.000000000029</v>
      </c>
      <c r="K35" s="27">
        <f>SUBTOTAL(109,DeprecSimples[Saldo a depreciar (R$)])</f>
        <v>18900</v>
      </c>
      <c r="O35" s="27">
        <f>SUBTOTAL(109,DeprecSimples[“Lucro” após zerar (R$)])</f>
        <v>68783.333333333328</v>
      </c>
    </row>
  </sheetData>
  <mergeCells count="7">
    <mergeCell ref="D10:G10"/>
    <mergeCell ref="D4:G4"/>
    <mergeCell ref="D5:G5"/>
    <mergeCell ref="D6:G6"/>
    <mergeCell ref="D7:G7"/>
    <mergeCell ref="D8:G8"/>
    <mergeCell ref="D9:G9"/>
  </mergeCells>
  <conditionalFormatting sqref="M14:M34">
    <cfRule type="containsText" dxfId="1" priority="1" operator="containsText" text="Zerada">
      <formula>NOT(ISERROR(SEARCH("Zerada",M14)))</formula>
    </cfRule>
    <cfRule type="containsText" dxfId="0" priority="2" operator="containsText" text="Em depreciação">
      <formula>NOT(ISERROR(SEARCH("Em depreciação",M14)))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bf0e85-9d6f-4ce4-b29c-52a9fdd622c4">
      <Terms xmlns="http://schemas.microsoft.com/office/infopath/2007/PartnerControls"/>
    </lcf76f155ced4ddcb4097134ff3c332f>
    <TaxCatchAll xmlns="d03e5795-9676-49be-8451-457a8f6c0dea" xsi:nil="true"/>
    <Observa_x00e7__x00f5_es xmlns="e0bf0e85-9d6f-4ce4-b29c-52a9fdd622c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CA95D70B38D4388243CDF9B4B2EF5" ma:contentTypeVersion="13" ma:contentTypeDescription="Create a new document." ma:contentTypeScope="" ma:versionID="e29c11e208c4055a9642a057915002f5">
  <xsd:schema xmlns:xsd="http://www.w3.org/2001/XMLSchema" xmlns:xs="http://www.w3.org/2001/XMLSchema" xmlns:p="http://schemas.microsoft.com/office/2006/metadata/properties" xmlns:ns2="e0bf0e85-9d6f-4ce4-b29c-52a9fdd622c4" xmlns:ns3="d03e5795-9676-49be-8451-457a8f6c0dea" targetNamespace="http://schemas.microsoft.com/office/2006/metadata/properties" ma:root="true" ma:fieldsID="0500383aa84b7ff8695d7df97749cee8" ns2:_="" ns3:_="">
    <xsd:import namespace="e0bf0e85-9d6f-4ce4-b29c-52a9fdd622c4"/>
    <xsd:import namespace="d03e5795-9676-49be-8451-457a8f6c0de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Observa_x00e7__x00f5_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f0e85-9d6f-4ce4-b29c-52a9fdd622c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bf291d7-c268-4c1a-9db7-36be4dd3c0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bserva_x00e7__x00f5_es" ma:index="19" nillable="true" ma:displayName="Observações" ma:format="Dropdown" ma:internalName="Observa_x00e7__x00f5_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e5795-9676-49be-8451-457a8f6c0de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8e8c865-ea08-404f-8184-ad92a3a6dd05}" ma:internalName="TaxCatchAll" ma:showField="CatchAllData" ma:web="d03e5795-9676-49be-8451-457a8f6c0d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C7BCB-FA56-43B8-B1D4-5FA874F13369}">
  <ds:schemaRefs>
    <ds:schemaRef ds:uri="http://schemas.microsoft.com/office/2006/metadata/properties"/>
    <ds:schemaRef ds:uri="http://schemas.microsoft.com/office/infopath/2007/PartnerControls"/>
    <ds:schemaRef ds:uri="e0bf0e85-9d6f-4ce4-b29c-52a9fdd622c4"/>
    <ds:schemaRef ds:uri="d03e5795-9676-49be-8451-457a8f6c0dea"/>
  </ds:schemaRefs>
</ds:datastoreItem>
</file>

<file path=customXml/itemProps2.xml><?xml version="1.0" encoding="utf-8"?>
<ds:datastoreItem xmlns:ds="http://schemas.openxmlformats.org/officeDocument/2006/customXml" ds:itemID="{89CF5486-C05F-4031-BFA8-9C0B3A7CB8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B3633F-B008-486F-B5E3-C29FE5953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Ref Processadores</vt:lpstr>
      <vt:lpstr>Plano de Modernização</vt:lpstr>
      <vt:lpstr>Reaproveitamento</vt:lpstr>
      <vt:lpstr>Depreciação Simplificada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Medeiros</dc:creator>
  <cp:lastModifiedBy>Fabricio Medeiros</cp:lastModifiedBy>
  <cp:lastPrinted>2026-10-02T14:51:47Z</cp:lastPrinted>
  <dcterms:created xsi:type="dcterms:W3CDTF">2026-09-24T11:42:36Z</dcterms:created>
  <dcterms:modified xsi:type="dcterms:W3CDTF">2026-10-02T15:02:43Z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0x0101002AACA95D70B38D4388243CDF9B4B2EF5</vt:lpwstr>
  </property>
  <property fmtid="{D5CDD505-2E9C-101B-9397-08002B2CF9AE}" pid="3" name="MediaServiceImageTags">
    <vt:lpwstr/>
  </property>
</Properties>
</file>